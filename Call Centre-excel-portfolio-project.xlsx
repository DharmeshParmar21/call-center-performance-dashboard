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d.docs.live.net/83e4f60b6bc2a0ac/Documents/Learning Data Analyst/Excel Project/Final Project/Call Center/"/>
    </mc:Choice>
  </mc:AlternateContent>
  <xr:revisionPtr revIDLastSave="46" documentId="8_{63A2BF33-2814-4C73-AAE1-8B5E616D2B5C}" xr6:coauthVersionLast="47" xr6:coauthVersionMax="47" xr10:uidLastSave="{9239D93F-984C-4976-94BD-AE1A1F949821}"/>
  <bookViews>
    <workbookView xWindow="-120" yWindow="-120" windowWidth="29040" windowHeight="15720" activeTab="2" xr2:uid="{26D4546B-D2A1-4444-8EAF-A6228F96F0C1}"/>
  </bookViews>
  <sheets>
    <sheet name="Raw Data" sheetId="2" r:id="rId1"/>
    <sheet name="Data Analyst" sheetId="6" r:id="rId2"/>
    <sheet name="Dashboard" sheetId="5" r:id="rId3"/>
    <sheet name="Assets" sheetId="4" r:id="rId4"/>
    <sheet name="My insight" sheetId="8" r:id="rId5"/>
    <sheet name="Tasks" sheetId="9" r:id="rId6"/>
  </sheets>
  <definedNames>
    <definedName name="_xlnm._FilterDatabase" localSheetId="0" hidden="1">'Raw 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7"/>
    <pivotCache cacheId="1" r:id="rId8"/>
    <pivotCache cacheId="2" r:id="rId9"/>
    <pivotCache cacheId="3" r:id="rId10"/>
    <pivotCache cacheId="57" r:id="rId11"/>
    <pivotCache cacheId="60" r:id="rId12"/>
    <pivotCache cacheId="63" r:id="rId13"/>
    <pivotCache cacheId="66" r:id="rId14"/>
    <pivotCache cacheId="69"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3" i="6" l="1"/>
  <c r="J26" i="5" s="1"/>
  <c r="F61" i="6"/>
  <c r="F63" i="6" s="1"/>
  <c r="I62" i="6" s="1"/>
  <c r="J31" i="5" s="1"/>
  <c r="F60" i="6"/>
  <c r="F62" i="6" s="1"/>
  <c r="I61" i="6" s="1"/>
  <c r="J30" i="5" s="1"/>
  <c r="F59" i="6"/>
  <c r="I60" i="6" s="1"/>
  <c r="J29" i="5" s="1"/>
  <c r="M15" i="5" a="1"/>
  <c r="M15" i="5" s="1"/>
  <c r="L16" i="5" a="1"/>
  <c r="L16" i="5" s="1"/>
  <c r="J43" i="6"/>
  <c r="I49" i="6" s="1"/>
  <c r="H50" i="6"/>
  <c r="H49" i="6"/>
  <c r="H48" i="6"/>
  <c r="H47" i="6"/>
  <c r="H46" i="6"/>
  <c r="G50" i="6"/>
  <c r="G49" i="6"/>
  <c r="G48" i="6"/>
  <c r="G47" i="6"/>
  <c r="G46" i="6"/>
  <c r="F50" i="6"/>
  <c r="F49" i="6"/>
  <c r="F48" i="6"/>
  <c r="F47" i="6"/>
  <c r="F46"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c r="K5" i="2" a="1"/>
  <c r="K5" i="2"/>
  <c r="K6" i="2" a="1"/>
  <c r="K6" i="2"/>
  <c r="K7" i="2" a="1"/>
  <c r="K7" i="2"/>
  <c r="K8" i="2" a="1"/>
  <c r="K8" i="2"/>
  <c r="K9" i="2" a="1"/>
  <c r="K9" i="2"/>
  <c r="K10" i="2" a="1"/>
  <c r="K10" i="2"/>
  <c r="K11" i="2" a="1"/>
  <c r="K11" i="2"/>
  <c r="K12" i="2" a="1"/>
  <c r="K12" i="2"/>
  <c r="K13" i="2" a="1"/>
  <c r="K13" i="2"/>
  <c r="K14" i="2" a="1"/>
  <c r="K14" i="2"/>
  <c r="K15" i="2" a="1"/>
  <c r="K15" i="2"/>
  <c r="K16" i="2" a="1"/>
  <c r="K16" i="2"/>
  <c r="K17" i="2" a="1"/>
  <c r="K17" i="2"/>
  <c r="K18" i="2" a="1"/>
  <c r="K18" i="2"/>
  <c r="K19" i="2" a="1"/>
  <c r="K19" i="2"/>
  <c r="K20" i="2" a="1"/>
  <c r="K20" i="2"/>
  <c r="K21" i="2" a="1"/>
  <c r="K21" i="2"/>
  <c r="K22" i="2" a="1"/>
  <c r="K22" i="2"/>
  <c r="K23" i="2" a="1"/>
  <c r="K23" i="2"/>
  <c r="K24" i="2" a="1"/>
  <c r="K24" i="2"/>
  <c r="K25" i="2" a="1"/>
  <c r="K25" i="2"/>
  <c r="K26" i="2" a="1"/>
  <c r="K26" i="2"/>
  <c r="K27" i="2" a="1"/>
  <c r="K27" i="2"/>
  <c r="K28" i="2" a="1"/>
  <c r="K28" i="2"/>
  <c r="K29" i="2" a="1"/>
  <c r="K29" i="2"/>
  <c r="K30" i="2" a="1"/>
  <c r="K30" i="2"/>
  <c r="K31" i="2" a="1"/>
  <c r="K31" i="2"/>
  <c r="K32" i="2" a="1"/>
  <c r="K32" i="2"/>
  <c r="K33" i="2" a="1"/>
  <c r="K33" i="2"/>
  <c r="K34" i="2" a="1"/>
  <c r="K34" i="2"/>
  <c r="K35" i="2" a="1"/>
  <c r="K35" i="2"/>
  <c r="K36" i="2" a="1"/>
  <c r="K36" i="2"/>
  <c r="K37" i="2" a="1"/>
  <c r="K37" i="2"/>
  <c r="K38" i="2" a="1"/>
  <c r="K38" i="2"/>
  <c r="K39" i="2" a="1"/>
  <c r="K39" i="2"/>
  <c r="K40" i="2" a="1"/>
  <c r="K40" i="2"/>
  <c r="K41" i="2" a="1"/>
  <c r="K41" i="2"/>
  <c r="K42" i="2" a="1"/>
  <c r="K42" i="2"/>
  <c r="K43" i="2" a="1"/>
  <c r="K43" i="2"/>
  <c r="K44" i="2" a="1"/>
  <c r="K44" i="2"/>
  <c r="K45" i="2" a="1"/>
  <c r="K45" i="2"/>
  <c r="K46" i="2" a="1"/>
  <c r="K46" i="2"/>
  <c r="K47" i="2" a="1"/>
  <c r="K47" i="2"/>
  <c r="K48" i="2" a="1"/>
  <c r="K48" i="2"/>
  <c r="K49" i="2" a="1"/>
  <c r="K49" i="2"/>
  <c r="K50" i="2" a="1"/>
  <c r="K50" i="2"/>
  <c r="K51" i="2" a="1"/>
  <c r="K51" i="2"/>
  <c r="K52" i="2" a="1"/>
  <c r="K52" i="2"/>
  <c r="K53" i="2" a="1"/>
  <c r="K53" i="2"/>
  <c r="K54" i="2" a="1"/>
  <c r="K54" i="2"/>
  <c r="K55" i="2" a="1"/>
  <c r="K55" i="2"/>
  <c r="K56" i="2" a="1"/>
  <c r="K56" i="2"/>
  <c r="K57" i="2" a="1"/>
  <c r="K57" i="2"/>
  <c r="K58" i="2" a="1"/>
  <c r="K58" i="2"/>
  <c r="K59" i="2" a="1"/>
  <c r="K59" i="2"/>
  <c r="K60" i="2" a="1"/>
  <c r="K60" i="2"/>
  <c r="K61" i="2" a="1"/>
  <c r="K61" i="2"/>
  <c r="K62" i="2" a="1"/>
  <c r="K62" i="2"/>
  <c r="K63" i="2" a="1"/>
  <c r="K63" i="2"/>
  <c r="K64" i="2" a="1"/>
  <c r="K64" i="2"/>
  <c r="K65" i="2" a="1"/>
  <c r="K65" i="2"/>
  <c r="K66" i="2" a="1"/>
  <c r="K66" i="2"/>
  <c r="K67" i="2" a="1"/>
  <c r="K67" i="2"/>
  <c r="K68" i="2" a="1"/>
  <c r="K68" i="2"/>
  <c r="K69" i="2" a="1"/>
  <c r="K69" i="2"/>
  <c r="K70" i="2" a="1"/>
  <c r="K70" i="2"/>
  <c r="K71" i="2" a="1"/>
  <c r="K71" i="2"/>
  <c r="K72" i="2" a="1"/>
  <c r="K72" i="2"/>
  <c r="K73" i="2" a="1"/>
  <c r="K73" i="2"/>
  <c r="K74" i="2" a="1"/>
  <c r="K74" i="2"/>
  <c r="K75" i="2" a="1"/>
  <c r="K75" i="2"/>
  <c r="K76" i="2" a="1"/>
  <c r="K76" i="2"/>
  <c r="K77" i="2" a="1"/>
  <c r="K77" i="2"/>
  <c r="K78" i="2" a="1"/>
  <c r="K78" i="2"/>
  <c r="K79" i="2" a="1"/>
  <c r="K79" i="2"/>
  <c r="K80" i="2" a="1"/>
  <c r="K80" i="2"/>
  <c r="K81" i="2" a="1"/>
  <c r="K81" i="2"/>
  <c r="K82" i="2" a="1"/>
  <c r="K82" i="2"/>
  <c r="K83" i="2" a="1"/>
  <c r="K83" i="2"/>
  <c r="K84" i="2" a="1"/>
  <c r="K84" i="2"/>
  <c r="K85" i="2" a="1"/>
  <c r="K85" i="2"/>
  <c r="K86" i="2" a="1"/>
  <c r="K86" i="2"/>
  <c r="K87" i="2" a="1"/>
  <c r="K87" i="2"/>
  <c r="K88" i="2" a="1"/>
  <c r="K88" i="2"/>
  <c r="K89" i="2" a="1"/>
  <c r="K89" i="2"/>
  <c r="K90" i="2" a="1"/>
  <c r="K90" i="2"/>
  <c r="K91" i="2" a="1"/>
  <c r="K91" i="2"/>
  <c r="K92" i="2" a="1"/>
  <c r="K92" i="2"/>
  <c r="K93" i="2" a="1"/>
  <c r="K93" i="2"/>
  <c r="K94" i="2" a="1"/>
  <c r="K94" i="2"/>
  <c r="K95" i="2" a="1"/>
  <c r="K95" i="2"/>
  <c r="K96" i="2" a="1"/>
  <c r="K96" i="2"/>
  <c r="K97" i="2" a="1"/>
  <c r="K97" i="2"/>
  <c r="K98" i="2" a="1"/>
  <c r="K98" i="2"/>
  <c r="K99" i="2" a="1"/>
  <c r="K99" i="2"/>
  <c r="K100" i="2" a="1"/>
  <c r="K100" i="2"/>
  <c r="K101" i="2" a="1"/>
  <c r="K101" i="2"/>
  <c r="K102" i="2" a="1"/>
  <c r="K102" i="2"/>
  <c r="K103" i="2" a="1"/>
  <c r="K103" i="2"/>
  <c r="K104" i="2" a="1"/>
  <c r="K104" i="2"/>
  <c r="K105" i="2" a="1"/>
  <c r="K105" i="2"/>
  <c r="K106" i="2" a="1"/>
  <c r="K106" i="2"/>
  <c r="K107" i="2" a="1"/>
  <c r="K107" i="2"/>
  <c r="K108" i="2" a="1"/>
  <c r="K108" i="2"/>
  <c r="K109" i="2" a="1"/>
  <c r="K109" i="2"/>
  <c r="K110" i="2" a="1"/>
  <c r="K110" i="2"/>
  <c r="K111" i="2" a="1"/>
  <c r="K111" i="2"/>
  <c r="K112" i="2" a="1"/>
  <c r="K112" i="2"/>
  <c r="K113" i="2" a="1"/>
  <c r="K113" i="2"/>
  <c r="K114" i="2" a="1"/>
  <c r="K114" i="2"/>
  <c r="K115" i="2" a="1"/>
  <c r="K115" i="2"/>
  <c r="K116" i="2" a="1"/>
  <c r="K116" i="2"/>
  <c r="K117" i="2" a="1"/>
  <c r="K117" i="2"/>
  <c r="K118" i="2" a="1"/>
  <c r="K118" i="2"/>
  <c r="K119" i="2" a="1"/>
  <c r="K119" i="2"/>
  <c r="K120" i="2" a="1"/>
  <c r="K120" i="2"/>
  <c r="K121" i="2" a="1"/>
  <c r="K121" i="2"/>
  <c r="K122" i="2" a="1"/>
  <c r="K122" i="2"/>
  <c r="K123" i="2" a="1"/>
  <c r="K123" i="2"/>
  <c r="K124" i="2" a="1"/>
  <c r="K124" i="2"/>
  <c r="K125" i="2" a="1"/>
  <c r="K125" i="2"/>
  <c r="K126" i="2" a="1"/>
  <c r="K126" i="2"/>
  <c r="K127" i="2" a="1"/>
  <c r="K127" i="2"/>
  <c r="K128" i="2" a="1"/>
  <c r="K128" i="2"/>
  <c r="K129" i="2" a="1"/>
  <c r="K129" i="2"/>
  <c r="K130" i="2" a="1"/>
  <c r="K130" i="2"/>
  <c r="K131" i="2" a="1"/>
  <c r="K131" i="2"/>
  <c r="K132" i="2" a="1"/>
  <c r="K132" i="2"/>
  <c r="K133" i="2" a="1"/>
  <c r="K133" i="2"/>
  <c r="K134" i="2" a="1"/>
  <c r="K134" i="2"/>
  <c r="K135" i="2" a="1"/>
  <c r="K135" i="2"/>
  <c r="K136" i="2" a="1"/>
  <c r="K136" i="2"/>
  <c r="K137" i="2" a="1"/>
  <c r="K137" i="2"/>
  <c r="K138" i="2" a="1"/>
  <c r="K138" i="2"/>
  <c r="K139" i="2" a="1"/>
  <c r="K139" i="2"/>
  <c r="K140" i="2" a="1"/>
  <c r="K140" i="2"/>
  <c r="K141" i="2" a="1"/>
  <c r="K141" i="2"/>
  <c r="K142" i="2" a="1"/>
  <c r="K142" i="2"/>
  <c r="K143" i="2" a="1"/>
  <c r="K143" i="2"/>
  <c r="K144" i="2" a="1"/>
  <c r="K144" i="2"/>
  <c r="K145" i="2" a="1"/>
  <c r="K145" i="2"/>
  <c r="K146" i="2" a="1"/>
  <c r="K146" i="2"/>
  <c r="K147" i="2" a="1"/>
  <c r="K147" i="2"/>
  <c r="K148" i="2" a="1"/>
  <c r="K148" i="2"/>
  <c r="K149" i="2" a="1"/>
  <c r="K149" i="2"/>
  <c r="K150" i="2" a="1"/>
  <c r="K150" i="2"/>
  <c r="K151" i="2" a="1"/>
  <c r="K151" i="2"/>
  <c r="K152" i="2" a="1"/>
  <c r="K152" i="2"/>
  <c r="K153" i="2" a="1"/>
  <c r="K153" i="2"/>
  <c r="K154" i="2" a="1"/>
  <c r="K154" i="2"/>
  <c r="K155" i="2" a="1"/>
  <c r="K155" i="2"/>
  <c r="K156" i="2" a="1"/>
  <c r="K156" i="2"/>
  <c r="K157" i="2" a="1"/>
  <c r="K157" i="2"/>
  <c r="K158" i="2" a="1"/>
  <c r="K158" i="2"/>
  <c r="K159" i="2" a="1"/>
  <c r="K159" i="2"/>
  <c r="K160" i="2" a="1"/>
  <c r="K160" i="2"/>
  <c r="K161" i="2" a="1"/>
  <c r="K161" i="2"/>
  <c r="K162" i="2" a="1"/>
  <c r="K162" i="2"/>
  <c r="K163" i="2" a="1"/>
  <c r="K163" i="2"/>
  <c r="K164" i="2" a="1"/>
  <c r="K164" i="2"/>
  <c r="K165" i="2" a="1"/>
  <c r="K165" i="2"/>
  <c r="K166" i="2" a="1"/>
  <c r="K166" i="2"/>
  <c r="K167" i="2" a="1"/>
  <c r="K167" i="2"/>
  <c r="K168" i="2" a="1"/>
  <c r="K168" i="2"/>
  <c r="K169" i="2" a="1"/>
  <c r="K169" i="2"/>
  <c r="K170" i="2" a="1"/>
  <c r="K170" i="2"/>
  <c r="K171" i="2" a="1"/>
  <c r="K171" i="2"/>
  <c r="K172" i="2" a="1"/>
  <c r="K172" i="2"/>
  <c r="K173" i="2" a="1"/>
  <c r="K173" i="2"/>
  <c r="K174" i="2" a="1"/>
  <c r="K174" i="2"/>
  <c r="K175" i="2" a="1"/>
  <c r="K175" i="2"/>
  <c r="K176" i="2" a="1"/>
  <c r="K176" i="2"/>
  <c r="K177" i="2" a="1"/>
  <c r="K177" i="2"/>
  <c r="K178" i="2" a="1"/>
  <c r="K178" i="2"/>
  <c r="K179" i="2" a="1"/>
  <c r="K179" i="2"/>
  <c r="K180" i="2" a="1"/>
  <c r="K180" i="2"/>
  <c r="K181" i="2" a="1"/>
  <c r="K181" i="2"/>
  <c r="K182" i="2" a="1"/>
  <c r="K182" i="2"/>
  <c r="K183" i="2" a="1"/>
  <c r="K183" i="2"/>
  <c r="K184" i="2" a="1"/>
  <c r="K184" i="2"/>
  <c r="K185" i="2" a="1"/>
  <c r="K185" i="2"/>
  <c r="K186" i="2" a="1"/>
  <c r="K186" i="2"/>
  <c r="K187" i="2" a="1"/>
  <c r="K187" i="2"/>
  <c r="K188" i="2" a="1"/>
  <c r="K188" i="2"/>
  <c r="K189" i="2" a="1"/>
  <c r="K189" i="2"/>
  <c r="K190" i="2" a="1"/>
  <c r="K190" i="2"/>
  <c r="K191" i="2" a="1"/>
  <c r="K191" i="2"/>
  <c r="K192" i="2" a="1"/>
  <c r="K192" i="2"/>
  <c r="K193" i="2" a="1"/>
  <c r="K193" i="2"/>
  <c r="K194" i="2" a="1"/>
  <c r="K194" i="2"/>
  <c r="K195" i="2" a="1"/>
  <c r="K195" i="2"/>
  <c r="K196" i="2" a="1"/>
  <c r="K196" i="2"/>
  <c r="K197" i="2" a="1"/>
  <c r="K197" i="2"/>
  <c r="K198" i="2" a="1"/>
  <c r="K198" i="2"/>
  <c r="K199" i="2" a="1"/>
  <c r="K199" i="2"/>
  <c r="K200" i="2" a="1"/>
  <c r="K200" i="2"/>
  <c r="K201" i="2" a="1"/>
  <c r="K201" i="2"/>
  <c r="K202" i="2" a="1"/>
  <c r="K202" i="2"/>
  <c r="K203" i="2" a="1"/>
  <c r="K203" i="2"/>
  <c r="K204" i="2" a="1"/>
  <c r="K204" i="2"/>
  <c r="K205" i="2" a="1"/>
  <c r="K205" i="2"/>
  <c r="K206" i="2" a="1"/>
  <c r="K206" i="2"/>
  <c r="K207" i="2" a="1"/>
  <c r="K207" i="2"/>
  <c r="K208" i="2" a="1"/>
  <c r="K208" i="2"/>
  <c r="K209" i="2" a="1"/>
  <c r="K209" i="2"/>
  <c r="K210" i="2" a="1"/>
  <c r="K210" i="2"/>
  <c r="K211" i="2" a="1"/>
  <c r="K211" i="2"/>
  <c r="K212" i="2" a="1"/>
  <c r="K212" i="2"/>
  <c r="K213" i="2" a="1"/>
  <c r="K213" i="2"/>
  <c r="K214" i="2" a="1"/>
  <c r="K214" i="2"/>
  <c r="K215" i="2" a="1"/>
  <c r="K215" i="2"/>
  <c r="K216" i="2" a="1"/>
  <c r="K216" i="2"/>
  <c r="K217" i="2" a="1"/>
  <c r="K217" i="2"/>
  <c r="K218" i="2" a="1"/>
  <c r="K218" i="2"/>
  <c r="K219" i="2" a="1"/>
  <c r="K219" i="2"/>
  <c r="K220" i="2" a="1"/>
  <c r="K220" i="2"/>
  <c r="K221" i="2" a="1"/>
  <c r="K221" i="2"/>
  <c r="K222" i="2" a="1"/>
  <c r="K222" i="2"/>
  <c r="K223" i="2" a="1"/>
  <c r="K223" i="2"/>
  <c r="K224" i="2" a="1"/>
  <c r="K224" i="2"/>
  <c r="K225" i="2" a="1"/>
  <c r="K225" i="2"/>
  <c r="K226" i="2" a="1"/>
  <c r="K226" i="2"/>
  <c r="K227" i="2" a="1"/>
  <c r="K227" i="2"/>
  <c r="K228" i="2" a="1"/>
  <c r="K228" i="2"/>
  <c r="K229" i="2" a="1"/>
  <c r="K229" i="2"/>
  <c r="K230" i="2" a="1"/>
  <c r="K230" i="2"/>
  <c r="K231" i="2" a="1"/>
  <c r="K231" i="2"/>
  <c r="K232" i="2" a="1"/>
  <c r="K232" i="2"/>
  <c r="K233" i="2" a="1"/>
  <c r="K233" i="2"/>
  <c r="K234" i="2" a="1"/>
  <c r="K234" i="2"/>
  <c r="K235" i="2" a="1"/>
  <c r="K235" i="2"/>
  <c r="K236" i="2" a="1"/>
  <c r="K236" i="2"/>
  <c r="K237" i="2" a="1"/>
  <c r="K237" i="2"/>
  <c r="K238" i="2" a="1"/>
  <c r="K238" i="2"/>
  <c r="K239" i="2" a="1"/>
  <c r="K239" i="2"/>
  <c r="K240" i="2" a="1"/>
  <c r="K240" i="2"/>
  <c r="K241" i="2" a="1"/>
  <c r="K241" i="2"/>
  <c r="K242" i="2" a="1"/>
  <c r="K242" i="2"/>
  <c r="K243" i="2" a="1"/>
  <c r="K243" i="2"/>
  <c r="K244" i="2" a="1"/>
  <c r="K244" i="2"/>
  <c r="K245" i="2" a="1"/>
  <c r="K245" i="2"/>
  <c r="K246" i="2" a="1"/>
  <c r="K246" i="2"/>
  <c r="K247" i="2" a="1"/>
  <c r="K247" i="2"/>
  <c r="K248" i="2" a="1"/>
  <c r="K248" i="2"/>
  <c r="K249" i="2" a="1"/>
  <c r="K249" i="2"/>
  <c r="K250" i="2" a="1"/>
  <c r="K250" i="2"/>
  <c r="K251" i="2" a="1"/>
  <c r="K251" i="2"/>
  <c r="K252" i="2" a="1"/>
  <c r="K252" i="2"/>
  <c r="K253" i="2" a="1"/>
  <c r="K253" i="2"/>
  <c r="K254" i="2" a="1"/>
  <c r="K254" i="2"/>
  <c r="K255" i="2" a="1"/>
  <c r="K255" i="2"/>
  <c r="K256" i="2" a="1"/>
  <c r="K256" i="2"/>
  <c r="K257" i="2" a="1"/>
  <c r="K257" i="2"/>
  <c r="K258" i="2" a="1"/>
  <c r="K258" i="2"/>
  <c r="K259" i="2" a="1"/>
  <c r="K259" i="2"/>
  <c r="K260" i="2" a="1"/>
  <c r="K260" i="2"/>
  <c r="K261" i="2" a="1"/>
  <c r="K261" i="2"/>
  <c r="K262" i="2" a="1"/>
  <c r="K262" i="2"/>
  <c r="K263" i="2" a="1"/>
  <c r="K263" i="2"/>
  <c r="K264" i="2" a="1"/>
  <c r="K264" i="2"/>
  <c r="K265" i="2" a="1"/>
  <c r="K265" i="2"/>
  <c r="K266" i="2" a="1"/>
  <c r="K266" i="2"/>
  <c r="K267" i="2" a="1"/>
  <c r="K267" i="2"/>
  <c r="K268" i="2" a="1"/>
  <c r="K268" i="2"/>
  <c r="K269" i="2" a="1"/>
  <c r="K269" i="2"/>
  <c r="K270" i="2" a="1"/>
  <c r="K270" i="2"/>
  <c r="K271" i="2" a="1"/>
  <c r="K271" i="2"/>
  <c r="K272" i="2" a="1"/>
  <c r="K272" i="2"/>
  <c r="K273" i="2" a="1"/>
  <c r="K273" i="2"/>
  <c r="K274" i="2" a="1"/>
  <c r="K274" i="2"/>
  <c r="K275" i="2" a="1"/>
  <c r="K275" i="2"/>
  <c r="K276" i="2" a="1"/>
  <c r="K276" i="2"/>
  <c r="K277" i="2" a="1"/>
  <c r="K277" i="2"/>
  <c r="K278" i="2" a="1"/>
  <c r="K278" i="2"/>
  <c r="K279" i="2" a="1"/>
  <c r="K279" i="2"/>
  <c r="K280" i="2" a="1"/>
  <c r="K280" i="2"/>
  <c r="K281" i="2" a="1"/>
  <c r="K281" i="2"/>
  <c r="K282" i="2" a="1"/>
  <c r="K282" i="2"/>
  <c r="K283" i="2" a="1"/>
  <c r="K283" i="2"/>
  <c r="K284" i="2" a="1"/>
  <c r="K284" i="2"/>
  <c r="K285" i="2" a="1"/>
  <c r="K285" i="2"/>
  <c r="K286" i="2" a="1"/>
  <c r="K286" i="2"/>
  <c r="K287" i="2" a="1"/>
  <c r="K287" i="2"/>
  <c r="K288" i="2" a="1"/>
  <c r="K288" i="2"/>
  <c r="K289" i="2" a="1"/>
  <c r="K289" i="2"/>
  <c r="K290" i="2" a="1"/>
  <c r="K290" i="2"/>
  <c r="K291" i="2" a="1"/>
  <c r="K291" i="2"/>
  <c r="K292" i="2" a="1"/>
  <c r="K292" i="2"/>
  <c r="K293" i="2" a="1"/>
  <c r="K293" i="2"/>
  <c r="K294" i="2" a="1"/>
  <c r="K294" i="2"/>
  <c r="K295" i="2" a="1"/>
  <c r="K295" i="2"/>
  <c r="K296" i="2" a="1"/>
  <c r="K296" i="2"/>
  <c r="K297" i="2" a="1"/>
  <c r="K297" i="2"/>
  <c r="K298" i="2" a="1"/>
  <c r="K298" i="2"/>
  <c r="K299" i="2" a="1"/>
  <c r="K299" i="2"/>
  <c r="K300" i="2" a="1"/>
  <c r="K300" i="2"/>
  <c r="K301" i="2" a="1"/>
  <c r="K301" i="2"/>
  <c r="K302" i="2" a="1"/>
  <c r="K302" i="2"/>
  <c r="K303" i="2" a="1"/>
  <c r="K303" i="2"/>
  <c r="K304" i="2" a="1"/>
  <c r="K304" i="2"/>
  <c r="K305" i="2" a="1"/>
  <c r="K305" i="2"/>
  <c r="K306" i="2" a="1"/>
  <c r="K306" i="2"/>
  <c r="K307" i="2" a="1"/>
  <c r="K307" i="2"/>
  <c r="K308" i="2" a="1"/>
  <c r="K308" i="2"/>
  <c r="K309" i="2" a="1"/>
  <c r="K309" i="2"/>
  <c r="K310" i="2" a="1"/>
  <c r="K310" i="2"/>
  <c r="K311" i="2" a="1"/>
  <c r="K311" i="2"/>
  <c r="K312" i="2" a="1"/>
  <c r="K312" i="2"/>
  <c r="K313" i="2" a="1"/>
  <c r="K313" i="2"/>
  <c r="K314" i="2" a="1"/>
  <c r="K314" i="2"/>
  <c r="K315" i="2" a="1"/>
  <c r="K315" i="2"/>
  <c r="K316" i="2" a="1"/>
  <c r="K316" i="2"/>
  <c r="K317" i="2" a="1"/>
  <c r="K317" i="2"/>
  <c r="K318" i="2" a="1"/>
  <c r="K318" i="2"/>
  <c r="K319" i="2" a="1"/>
  <c r="K319" i="2"/>
  <c r="K320" i="2" a="1"/>
  <c r="K320" i="2"/>
  <c r="K321" i="2" a="1"/>
  <c r="K321" i="2"/>
  <c r="K322" i="2" a="1"/>
  <c r="K322" i="2"/>
  <c r="K323" i="2" a="1"/>
  <c r="K323" i="2"/>
  <c r="K324" i="2" a="1"/>
  <c r="K324" i="2"/>
  <c r="K325" i="2" a="1"/>
  <c r="K325" i="2"/>
  <c r="K326" i="2" a="1"/>
  <c r="K326" i="2"/>
  <c r="K327" i="2" a="1"/>
  <c r="K327" i="2"/>
  <c r="K328" i="2" a="1"/>
  <c r="K328" i="2"/>
  <c r="K329" i="2" a="1"/>
  <c r="K329" i="2"/>
  <c r="K330" i="2" a="1"/>
  <c r="K330" i="2"/>
  <c r="K331" i="2" a="1"/>
  <c r="K331" i="2"/>
  <c r="K332" i="2" a="1"/>
  <c r="K332" i="2"/>
  <c r="K333" i="2" a="1"/>
  <c r="K333" i="2"/>
  <c r="K334" i="2" a="1"/>
  <c r="K334" i="2"/>
  <c r="K335" i="2" a="1"/>
  <c r="K335" i="2"/>
  <c r="K336" i="2" a="1"/>
  <c r="K336" i="2"/>
  <c r="K337" i="2" a="1"/>
  <c r="K337" i="2"/>
  <c r="K338" i="2" a="1"/>
  <c r="K338" i="2"/>
  <c r="K339" i="2" a="1"/>
  <c r="K339" i="2"/>
  <c r="K340" i="2" a="1"/>
  <c r="K340" i="2"/>
  <c r="K341" i="2" a="1"/>
  <c r="K341" i="2"/>
  <c r="K342" i="2" a="1"/>
  <c r="K342" i="2"/>
  <c r="K343" i="2" a="1"/>
  <c r="K343" i="2"/>
  <c r="K344" i="2" a="1"/>
  <c r="K344" i="2"/>
  <c r="K345" i="2" a="1"/>
  <c r="K345" i="2"/>
  <c r="K346" i="2" a="1"/>
  <c r="K346" i="2"/>
  <c r="K347" i="2" a="1"/>
  <c r="K347" i="2"/>
  <c r="K348" i="2" a="1"/>
  <c r="K348" i="2"/>
  <c r="K349" i="2" a="1"/>
  <c r="K349" i="2"/>
  <c r="K350" i="2" a="1"/>
  <c r="K350" i="2"/>
  <c r="K351" i="2" a="1"/>
  <c r="K351" i="2"/>
  <c r="K352" i="2" a="1"/>
  <c r="K352" i="2"/>
  <c r="K353" i="2" a="1"/>
  <c r="K353" i="2"/>
  <c r="K354" i="2" a="1"/>
  <c r="K354" i="2"/>
  <c r="K355" i="2" a="1"/>
  <c r="K355" i="2"/>
  <c r="K356" i="2" a="1"/>
  <c r="K356" i="2"/>
  <c r="K357" i="2" a="1"/>
  <c r="K357" i="2"/>
  <c r="K358" i="2" a="1"/>
  <c r="K358" i="2"/>
  <c r="K359" i="2" a="1"/>
  <c r="K359" i="2"/>
  <c r="K360" i="2" a="1"/>
  <c r="K360" i="2"/>
  <c r="K361" i="2" a="1"/>
  <c r="K361" i="2"/>
  <c r="K362" i="2" a="1"/>
  <c r="K362" i="2"/>
  <c r="K363" i="2" a="1"/>
  <c r="K363" i="2"/>
  <c r="K364" i="2" a="1"/>
  <c r="K364" i="2"/>
  <c r="K365" i="2" a="1"/>
  <c r="K365" i="2"/>
  <c r="K366" i="2" a="1"/>
  <c r="K366" i="2"/>
  <c r="K367" i="2" a="1"/>
  <c r="K367" i="2"/>
  <c r="K368" i="2" a="1"/>
  <c r="K368" i="2"/>
  <c r="K369" i="2" a="1"/>
  <c r="K369" i="2"/>
  <c r="K370" i="2" a="1"/>
  <c r="K370" i="2"/>
  <c r="K371" i="2" a="1"/>
  <c r="K371" i="2"/>
  <c r="K372" i="2" a="1"/>
  <c r="K372" i="2"/>
  <c r="K373" i="2" a="1"/>
  <c r="K373" i="2"/>
  <c r="K374" i="2" a="1"/>
  <c r="K374" i="2"/>
  <c r="K375" i="2" a="1"/>
  <c r="K375" i="2"/>
  <c r="K376" i="2" a="1"/>
  <c r="K376" i="2"/>
  <c r="K377" i="2" a="1"/>
  <c r="K377" i="2"/>
  <c r="K378" i="2" a="1"/>
  <c r="K378" i="2"/>
  <c r="K379" i="2" a="1"/>
  <c r="K379" i="2"/>
  <c r="K380" i="2" a="1"/>
  <c r="K380" i="2"/>
  <c r="K381" i="2" a="1"/>
  <c r="K381" i="2"/>
  <c r="K382" i="2" a="1"/>
  <c r="K382" i="2"/>
  <c r="K383" i="2" a="1"/>
  <c r="K383" i="2"/>
  <c r="K384" i="2" a="1"/>
  <c r="K384" i="2"/>
  <c r="K385" i="2" a="1"/>
  <c r="K385" i="2"/>
  <c r="K386" i="2" a="1"/>
  <c r="K386" i="2"/>
  <c r="K387" i="2" a="1"/>
  <c r="K387" i="2"/>
  <c r="K388" i="2" a="1"/>
  <c r="K388" i="2"/>
  <c r="K389" i="2" a="1"/>
  <c r="K389" i="2"/>
  <c r="K390" i="2" a="1"/>
  <c r="K390" i="2"/>
  <c r="K391" i="2" a="1"/>
  <c r="K391" i="2"/>
  <c r="K392" i="2" a="1"/>
  <c r="K392" i="2"/>
  <c r="K393" i="2" a="1"/>
  <c r="K393" i="2"/>
  <c r="K394" i="2" a="1"/>
  <c r="K394" i="2"/>
  <c r="K395" i="2" a="1"/>
  <c r="K395" i="2"/>
  <c r="K396" i="2" a="1"/>
  <c r="K396" i="2"/>
  <c r="K397" i="2" a="1"/>
  <c r="K397" i="2"/>
  <c r="K398" i="2" a="1"/>
  <c r="K398" i="2"/>
  <c r="K399" i="2" a="1"/>
  <c r="K399" i="2"/>
  <c r="K400" i="2" a="1"/>
  <c r="K400" i="2"/>
  <c r="K401" i="2" a="1"/>
  <c r="K401" i="2"/>
  <c r="K402" i="2" a="1"/>
  <c r="K402" i="2"/>
  <c r="K403" i="2" a="1"/>
  <c r="K403" i="2"/>
  <c r="K404" i="2" a="1"/>
  <c r="K404" i="2"/>
  <c r="K405" i="2" a="1"/>
  <c r="K405" i="2"/>
  <c r="K406" i="2" a="1"/>
  <c r="K406" i="2"/>
  <c r="K407" i="2" a="1"/>
  <c r="K407" i="2"/>
  <c r="K408" i="2" a="1"/>
  <c r="K408" i="2"/>
  <c r="K409" i="2" a="1"/>
  <c r="K409" i="2"/>
  <c r="K410" i="2" a="1"/>
  <c r="K410" i="2"/>
  <c r="K411" i="2" a="1"/>
  <c r="K411" i="2"/>
  <c r="K412" i="2" a="1"/>
  <c r="K412" i="2"/>
  <c r="K413" i="2" a="1"/>
  <c r="K413" i="2"/>
  <c r="K414" i="2" a="1"/>
  <c r="K414" i="2"/>
  <c r="K415" i="2" a="1"/>
  <c r="K415" i="2"/>
  <c r="K416" i="2" a="1"/>
  <c r="K416" i="2"/>
  <c r="K417" i="2" a="1"/>
  <c r="K417" i="2"/>
  <c r="K418" i="2" a="1"/>
  <c r="K418" i="2"/>
  <c r="K419" i="2" a="1"/>
  <c r="K419" i="2"/>
  <c r="K420" i="2" a="1"/>
  <c r="K420" i="2"/>
  <c r="K421" i="2" a="1"/>
  <c r="K421" i="2"/>
  <c r="K422" i="2" a="1"/>
  <c r="K422" i="2"/>
  <c r="K423" i="2" a="1"/>
  <c r="K423" i="2"/>
  <c r="K424" i="2" a="1"/>
  <c r="K424" i="2"/>
  <c r="K425" i="2" a="1"/>
  <c r="K425" i="2"/>
  <c r="K426" i="2" a="1"/>
  <c r="K426" i="2"/>
  <c r="K427" i="2" a="1"/>
  <c r="K427" i="2"/>
  <c r="K428" i="2" a="1"/>
  <c r="K428" i="2"/>
  <c r="K429" i="2" a="1"/>
  <c r="K429" i="2"/>
  <c r="K430" i="2" a="1"/>
  <c r="K430" i="2"/>
  <c r="K431" i="2" a="1"/>
  <c r="K431" i="2"/>
  <c r="K432" i="2" a="1"/>
  <c r="K432" i="2"/>
  <c r="K433" i="2" a="1"/>
  <c r="K433" i="2"/>
  <c r="K434" i="2" a="1"/>
  <c r="K434" i="2"/>
  <c r="K435" i="2" a="1"/>
  <c r="K435" i="2"/>
  <c r="K436" i="2" a="1"/>
  <c r="K436" i="2"/>
  <c r="K437" i="2" a="1"/>
  <c r="K437" i="2"/>
  <c r="K438" i="2" a="1"/>
  <c r="K438" i="2"/>
  <c r="K439" i="2" a="1"/>
  <c r="K439" i="2"/>
  <c r="K440" i="2" a="1"/>
  <c r="K440" i="2"/>
  <c r="K441" i="2" a="1"/>
  <c r="K441" i="2"/>
  <c r="K442" i="2" a="1"/>
  <c r="K442" i="2"/>
  <c r="K443" i="2" a="1"/>
  <c r="K443" i="2"/>
  <c r="K444" i="2" a="1"/>
  <c r="K444" i="2"/>
  <c r="K445" i="2" a="1"/>
  <c r="K445" i="2"/>
  <c r="K446" i="2" a="1"/>
  <c r="K446" i="2"/>
  <c r="K447" i="2" a="1"/>
  <c r="K447" i="2"/>
  <c r="K448" i="2" a="1"/>
  <c r="K448" i="2"/>
  <c r="K449" i="2" a="1"/>
  <c r="K449" i="2"/>
  <c r="K450" i="2" a="1"/>
  <c r="K450" i="2"/>
  <c r="K451" i="2" a="1"/>
  <c r="K451" i="2"/>
  <c r="K452" i="2" a="1"/>
  <c r="K452" i="2"/>
  <c r="K453" i="2" a="1"/>
  <c r="K453" i="2"/>
  <c r="K454" i="2" a="1"/>
  <c r="K454" i="2"/>
  <c r="K455" i="2" a="1"/>
  <c r="K455" i="2"/>
  <c r="K456" i="2" a="1"/>
  <c r="K456" i="2"/>
  <c r="K457" i="2" a="1"/>
  <c r="K457" i="2"/>
  <c r="K458" i="2" a="1"/>
  <c r="K458" i="2"/>
  <c r="K459" i="2" a="1"/>
  <c r="K459" i="2"/>
  <c r="K460" i="2" a="1"/>
  <c r="K460" i="2"/>
  <c r="K461" i="2" a="1"/>
  <c r="K461" i="2"/>
  <c r="K462" i="2" a="1"/>
  <c r="K462" i="2"/>
  <c r="K463" i="2" a="1"/>
  <c r="K463" i="2"/>
  <c r="K464" i="2" a="1"/>
  <c r="K464" i="2"/>
  <c r="K465" i="2" a="1"/>
  <c r="K465" i="2"/>
  <c r="K466" i="2" a="1"/>
  <c r="K466" i="2"/>
  <c r="K467" i="2" a="1"/>
  <c r="K467" i="2"/>
  <c r="K468" i="2" a="1"/>
  <c r="K468" i="2"/>
  <c r="K469" i="2" a="1"/>
  <c r="K469" i="2"/>
  <c r="K470" i="2" a="1"/>
  <c r="K470" i="2"/>
  <c r="K471" i="2" a="1"/>
  <c r="K471" i="2"/>
  <c r="K472" i="2" a="1"/>
  <c r="K472" i="2"/>
  <c r="K473" i="2" a="1"/>
  <c r="K473" i="2"/>
  <c r="K474" i="2" a="1"/>
  <c r="K474" i="2"/>
  <c r="K475" i="2" a="1"/>
  <c r="K475" i="2"/>
  <c r="K476" i="2" a="1"/>
  <c r="K476" i="2"/>
  <c r="K477" i="2" a="1"/>
  <c r="K477" i="2"/>
  <c r="K478" i="2" a="1"/>
  <c r="K478" i="2"/>
  <c r="K479" i="2" a="1"/>
  <c r="K479" i="2"/>
  <c r="K480" i="2" a="1"/>
  <c r="K480" i="2"/>
  <c r="K481" i="2" a="1"/>
  <c r="K481" i="2"/>
  <c r="K482" i="2" a="1"/>
  <c r="K482" i="2"/>
  <c r="K483" i="2" a="1"/>
  <c r="K483" i="2"/>
  <c r="K484" i="2" a="1"/>
  <c r="K484" i="2"/>
  <c r="K485" i="2" a="1"/>
  <c r="K485" i="2"/>
  <c r="K486" i="2" a="1"/>
  <c r="K486" i="2"/>
  <c r="K487" i="2" a="1"/>
  <c r="K487" i="2"/>
  <c r="K488" i="2" a="1"/>
  <c r="K488" i="2"/>
  <c r="K489" i="2" a="1"/>
  <c r="K489" i="2"/>
  <c r="K490" i="2" a="1"/>
  <c r="K490" i="2"/>
  <c r="K491" i="2" a="1"/>
  <c r="K491" i="2"/>
  <c r="K492" i="2" a="1"/>
  <c r="K492" i="2"/>
  <c r="K493" i="2" a="1"/>
  <c r="K493" i="2"/>
  <c r="K494" i="2" a="1"/>
  <c r="K494" i="2"/>
  <c r="K495" i="2" a="1"/>
  <c r="K495" i="2"/>
  <c r="K496" i="2" a="1"/>
  <c r="K496" i="2"/>
  <c r="K497" i="2" a="1"/>
  <c r="K497" i="2"/>
  <c r="K498" i="2" a="1"/>
  <c r="K498" i="2"/>
  <c r="K499" i="2" a="1"/>
  <c r="K499" i="2"/>
  <c r="K500" i="2" a="1"/>
  <c r="K500" i="2"/>
  <c r="K501" i="2" a="1"/>
  <c r="K501" i="2"/>
  <c r="K502" i="2" a="1"/>
  <c r="K502" i="2"/>
  <c r="K503" i="2" a="1"/>
  <c r="K503" i="2"/>
  <c r="K504" i="2" a="1"/>
  <c r="K504" i="2"/>
  <c r="K505" i="2" a="1"/>
  <c r="K505" i="2"/>
  <c r="K506" i="2" a="1"/>
  <c r="K506" i="2"/>
  <c r="K507" i="2" a="1"/>
  <c r="K507" i="2"/>
  <c r="K508" i="2" a="1"/>
  <c r="K508" i="2"/>
  <c r="K509" i="2" a="1"/>
  <c r="K509" i="2"/>
  <c r="K510" i="2" a="1"/>
  <c r="K510" i="2"/>
  <c r="K511" i="2" a="1"/>
  <c r="K511" i="2"/>
  <c r="K512" i="2" a="1"/>
  <c r="K512" i="2"/>
  <c r="K513" i="2" a="1"/>
  <c r="K513" i="2"/>
  <c r="K514" i="2" a="1"/>
  <c r="K514" i="2"/>
  <c r="K515" i="2" a="1"/>
  <c r="K515" i="2"/>
  <c r="K516" i="2" a="1"/>
  <c r="K516" i="2"/>
  <c r="K517" i="2" a="1"/>
  <c r="K517" i="2"/>
  <c r="K518" i="2" a="1"/>
  <c r="K518" i="2"/>
  <c r="K519" i="2" a="1"/>
  <c r="K519" i="2"/>
  <c r="K520" i="2" a="1"/>
  <c r="K520" i="2"/>
  <c r="K521" i="2" a="1"/>
  <c r="K521" i="2"/>
  <c r="K522" i="2" a="1"/>
  <c r="K522" i="2"/>
  <c r="K523" i="2" a="1"/>
  <c r="K523" i="2"/>
  <c r="K524" i="2" a="1"/>
  <c r="K524" i="2"/>
  <c r="K525" i="2" a="1"/>
  <c r="K525" i="2"/>
  <c r="K526" i="2" a="1"/>
  <c r="K526" i="2"/>
  <c r="K527" i="2" a="1"/>
  <c r="K527" i="2"/>
  <c r="K528" i="2" a="1"/>
  <c r="K528" i="2"/>
  <c r="K529" i="2" a="1"/>
  <c r="K529" i="2"/>
  <c r="K530" i="2" a="1"/>
  <c r="K530" i="2"/>
  <c r="K531" i="2" a="1"/>
  <c r="K531" i="2"/>
  <c r="K532" i="2" a="1"/>
  <c r="K532" i="2"/>
  <c r="K533" i="2" a="1"/>
  <c r="K533" i="2"/>
  <c r="K534" i="2" a="1"/>
  <c r="K534" i="2"/>
  <c r="K535" i="2" a="1"/>
  <c r="K535" i="2"/>
  <c r="K536" i="2" a="1"/>
  <c r="K536" i="2"/>
  <c r="K537" i="2" a="1"/>
  <c r="K537" i="2"/>
  <c r="K538" i="2" a="1"/>
  <c r="K538" i="2"/>
  <c r="K539" i="2" a="1"/>
  <c r="K539" i="2"/>
  <c r="K540" i="2" a="1"/>
  <c r="K540" i="2"/>
  <c r="K541" i="2" a="1"/>
  <c r="K541" i="2"/>
  <c r="K542" i="2" a="1"/>
  <c r="K542" i="2"/>
  <c r="K543" i="2" a="1"/>
  <c r="K543" i="2"/>
  <c r="K544" i="2" a="1"/>
  <c r="K544" i="2"/>
  <c r="K545" i="2" a="1"/>
  <c r="K545" i="2"/>
  <c r="K546" i="2" a="1"/>
  <c r="K546" i="2"/>
  <c r="K547" i="2" a="1"/>
  <c r="K547" i="2"/>
  <c r="K548" i="2" a="1"/>
  <c r="K548" i="2"/>
  <c r="K549" i="2" a="1"/>
  <c r="K549" i="2"/>
  <c r="K550" i="2" a="1"/>
  <c r="K550" i="2"/>
  <c r="K551" i="2" a="1"/>
  <c r="K551" i="2"/>
  <c r="K552" i="2" a="1"/>
  <c r="K552" i="2"/>
  <c r="K553" i="2" a="1"/>
  <c r="K553" i="2"/>
  <c r="K554" i="2" a="1"/>
  <c r="K554" i="2"/>
  <c r="K555" i="2" a="1"/>
  <c r="K555" i="2"/>
  <c r="K556" i="2" a="1"/>
  <c r="K556" i="2"/>
  <c r="K557" i="2" a="1"/>
  <c r="K557" i="2"/>
  <c r="K558" i="2" a="1"/>
  <c r="K558" i="2"/>
  <c r="K559" i="2" a="1"/>
  <c r="K559" i="2"/>
  <c r="K560" i="2" a="1"/>
  <c r="K560" i="2"/>
  <c r="K561" i="2" a="1"/>
  <c r="K561" i="2"/>
  <c r="K562" i="2" a="1"/>
  <c r="K562" i="2"/>
  <c r="K563" i="2" a="1"/>
  <c r="K563" i="2"/>
  <c r="K564" i="2" a="1"/>
  <c r="K564" i="2"/>
  <c r="K565" i="2" a="1"/>
  <c r="K565" i="2"/>
  <c r="K566" i="2" a="1"/>
  <c r="K566" i="2"/>
  <c r="K567" i="2" a="1"/>
  <c r="K567" i="2"/>
  <c r="K568" i="2" a="1"/>
  <c r="K568" i="2"/>
  <c r="K569" i="2" a="1"/>
  <c r="K569" i="2"/>
  <c r="K570" i="2" a="1"/>
  <c r="K570" i="2"/>
  <c r="K571" i="2" a="1"/>
  <c r="K571" i="2"/>
  <c r="K572" i="2" a="1"/>
  <c r="K572" i="2"/>
  <c r="K573" i="2" a="1"/>
  <c r="K573" i="2"/>
  <c r="K574" i="2" a="1"/>
  <c r="K574" i="2"/>
  <c r="K575" i="2" a="1"/>
  <c r="K575" i="2"/>
  <c r="K576" i="2" a="1"/>
  <c r="K576" i="2"/>
  <c r="K577" i="2" a="1"/>
  <c r="K577" i="2"/>
  <c r="K578" i="2" a="1"/>
  <c r="K578" i="2"/>
  <c r="K579" i="2" a="1"/>
  <c r="K579" i="2"/>
  <c r="K580" i="2" a="1"/>
  <c r="K580" i="2"/>
  <c r="K581" i="2" a="1"/>
  <c r="K581" i="2"/>
  <c r="K582" i="2" a="1"/>
  <c r="K582" i="2"/>
  <c r="K583" i="2" a="1"/>
  <c r="K583" i="2"/>
  <c r="K584" i="2" a="1"/>
  <c r="K584" i="2"/>
  <c r="K585" i="2" a="1"/>
  <c r="K585" i="2"/>
  <c r="K586" i="2" a="1"/>
  <c r="K586" i="2"/>
  <c r="K587" i="2" a="1"/>
  <c r="K587" i="2"/>
  <c r="K588" i="2" a="1"/>
  <c r="K588" i="2"/>
  <c r="K589" i="2" a="1"/>
  <c r="K589" i="2"/>
  <c r="K590" i="2" a="1"/>
  <c r="K590" i="2"/>
  <c r="K591" i="2" a="1"/>
  <c r="K591" i="2"/>
  <c r="K592" i="2" a="1"/>
  <c r="K592" i="2"/>
  <c r="K593" i="2" a="1"/>
  <c r="K593" i="2"/>
  <c r="K594" i="2" a="1"/>
  <c r="K594" i="2"/>
  <c r="K595" i="2" a="1"/>
  <c r="K595" i="2"/>
  <c r="K596" i="2" a="1"/>
  <c r="K596" i="2"/>
  <c r="K597" i="2" a="1"/>
  <c r="K597" i="2"/>
  <c r="K598" i="2" a="1"/>
  <c r="K598" i="2"/>
  <c r="K599" i="2" a="1"/>
  <c r="K599" i="2"/>
  <c r="K600" i="2" a="1"/>
  <c r="K600" i="2"/>
  <c r="K601" i="2" a="1"/>
  <c r="K601" i="2"/>
  <c r="K602" i="2" a="1"/>
  <c r="K602" i="2"/>
  <c r="K603" i="2" a="1"/>
  <c r="K603" i="2"/>
  <c r="K604" i="2" a="1"/>
  <c r="K604" i="2"/>
  <c r="K605" i="2" a="1"/>
  <c r="K605" i="2"/>
  <c r="K606" i="2" a="1"/>
  <c r="K606" i="2"/>
  <c r="K607" i="2" a="1"/>
  <c r="K607" i="2"/>
  <c r="K608" i="2" a="1"/>
  <c r="K608" i="2"/>
  <c r="K609" i="2" a="1"/>
  <c r="K609" i="2"/>
  <c r="K610" i="2" a="1"/>
  <c r="K610" i="2"/>
  <c r="K611" i="2" a="1"/>
  <c r="K611" i="2"/>
  <c r="K612" i="2" a="1"/>
  <c r="K612" i="2"/>
  <c r="K613" i="2" a="1"/>
  <c r="K613" i="2"/>
  <c r="K614" i="2" a="1"/>
  <c r="K614" i="2"/>
  <c r="K615" i="2" a="1"/>
  <c r="K615" i="2"/>
  <c r="K616" i="2" a="1"/>
  <c r="K616" i="2"/>
  <c r="K617" i="2" a="1"/>
  <c r="K617" i="2"/>
  <c r="K618" i="2" a="1"/>
  <c r="K618" i="2"/>
  <c r="K619" i="2" a="1"/>
  <c r="K619" i="2"/>
  <c r="K620" i="2" a="1"/>
  <c r="K620" i="2"/>
  <c r="K621" i="2" a="1"/>
  <c r="K621" i="2"/>
  <c r="K622" i="2" a="1"/>
  <c r="K622" i="2"/>
  <c r="K623" i="2" a="1"/>
  <c r="K623" i="2"/>
  <c r="K624" i="2" a="1"/>
  <c r="K624" i="2"/>
  <c r="K625" i="2" a="1"/>
  <c r="K625" i="2"/>
  <c r="K626" i="2" a="1"/>
  <c r="K626" i="2"/>
  <c r="K627" i="2" a="1"/>
  <c r="K627" i="2"/>
  <c r="K628" i="2" a="1"/>
  <c r="K628" i="2"/>
  <c r="K629" i="2" a="1"/>
  <c r="K629" i="2"/>
  <c r="K630" i="2" a="1"/>
  <c r="K630" i="2"/>
  <c r="K631" i="2" a="1"/>
  <c r="K631" i="2"/>
  <c r="K632" i="2" a="1"/>
  <c r="K632" i="2"/>
  <c r="K633" i="2" a="1"/>
  <c r="K633" i="2"/>
  <c r="K634" i="2" a="1"/>
  <c r="K634" i="2"/>
  <c r="K635" i="2" a="1"/>
  <c r="K635" i="2"/>
  <c r="K636" i="2" a="1"/>
  <c r="K636" i="2"/>
  <c r="K637" i="2" a="1"/>
  <c r="K637" i="2"/>
  <c r="K638" i="2" a="1"/>
  <c r="K638" i="2"/>
  <c r="K639" i="2" a="1"/>
  <c r="K639" i="2"/>
  <c r="K640" i="2" a="1"/>
  <c r="K640" i="2"/>
  <c r="K641" i="2" a="1"/>
  <c r="K641" i="2"/>
  <c r="K642" i="2" a="1"/>
  <c r="K642" i="2"/>
  <c r="K643" i="2" a="1"/>
  <c r="K643" i="2"/>
  <c r="K644" i="2" a="1"/>
  <c r="K644" i="2"/>
  <c r="K645" i="2" a="1"/>
  <c r="K645" i="2"/>
  <c r="K646" i="2" a="1"/>
  <c r="K646" i="2"/>
  <c r="K647" i="2" a="1"/>
  <c r="K647" i="2"/>
  <c r="K648" i="2" a="1"/>
  <c r="K648" i="2"/>
  <c r="K649" i="2" a="1"/>
  <c r="K649" i="2"/>
  <c r="K650" i="2" a="1"/>
  <c r="K650" i="2"/>
  <c r="K651" i="2" a="1"/>
  <c r="K651" i="2"/>
  <c r="K652" i="2" a="1"/>
  <c r="K652" i="2"/>
  <c r="K653" i="2" a="1"/>
  <c r="K653" i="2"/>
  <c r="K654" i="2" a="1"/>
  <c r="K654" i="2"/>
  <c r="K655" i="2" a="1"/>
  <c r="K655" i="2"/>
  <c r="K656" i="2" a="1"/>
  <c r="K656" i="2"/>
  <c r="K657" i="2" a="1"/>
  <c r="K657" i="2"/>
  <c r="K658" i="2" a="1"/>
  <c r="K658" i="2"/>
  <c r="K659" i="2" a="1"/>
  <c r="K659" i="2"/>
  <c r="K660" i="2" a="1"/>
  <c r="K660" i="2"/>
  <c r="K661" i="2" a="1"/>
  <c r="K661" i="2"/>
  <c r="K662" i="2" a="1"/>
  <c r="K662" i="2"/>
  <c r="K663" i="2" a="1"/>
  <c r="K663" i="2"/>
  <c r="K664" i="2" a="1"/>
  <c r="K664" i="2"/>
  <c r="K665" i="2" a="1"/>
  <c r="K665" i="2"/>
  <c r="K666" i="2" a="1"/>
  <c r="K666" i="2"/>
  <c r="K667" i="2" a="1"/>
  <c r="K667" i="2"/>
  <c r="K668" i="2" a="1"/>
  <c r="K668" i="2"/>
  <c r="K669" i="2" a="1"/>
  <c r="K669" i="2"/>
  <c r="K670" i="2" a="1"/>
  <c r="K670" i="2"/>
  <c r="K671" i="2" a="1"/>
  <c r="K671" i="2"/>
  <c r="K672" i="2" a="1"/>
  <c r="K672" i="2"/>
  <c r="K673" i="2" a="1"/>
  <c r="K673" i="2"/>
  <c r="K674" i="2" a="1"/>
  <c r="K674" i="2"/>
  <c r="K675" i="2" a="1"/>
  <c r="K675" i="2"/>
  <c r="K676" i="2" a="1"/>
  <c r="K676" i="2"/>
  <c r="K677" i="2" a="1"/>
  <c r="K677" i="2"/>
  <c r="K678" i="2" a="1"/>
  <c r="K678" i="2"/>
  <c r="K679" i="2" a="1"/>
  <c r="K679" i="2"/>
  <c r="K680" i="2" a="1"/>
  <c r="K680" i="2"/>
  <c r="K681" i="2" a="1"/>
  <c r="K681" i="2"/>
  <c r="K682" i="2" a="1"/>
  <c r="K682" i="2"/>
  <c r="K683" i="2" a="1"/>
  <c r="K683" i="2"/>
  <c r="K684" i="2" a="1"/>
  <c r="K684" i="2"/>
  <c r="K685" i="2" a="1"/>
  <c r="K685" i="2"/>
  <c r="K686" i="2" a="1"/>
  <c r="K686" i="2"/>
  <c r="K687" i="2" a="1"/>
  <c r="K687" i="2"/>
  <c r="K688" i="2" a="1"/>
  <c r="K688" i="2"/>
  <c r="K689" i="2" a="1"/>
  <c r="K689" i="2"/>
  <c r="K690" i="2" a="1"/>
  <c r="K690" i="2"/>
  <c r="K691" i="2" a="1"/>
  <c r="K691" i="2"/>
  <c r="K692" i="2" a="1"/>
  <c r="K692" i="2"/>
  <c r="K693" i="2" a="1"/>
  <c r="K693" i="2"/>
  <c r="K694" i="2" a="1"/>
  <c r="K694" i="2"/>
  <c r="K695" i="2" a="1"/>
  <c r="K695" i="2"/>
  <c r="K696" i="2" a="1"/>
  <c r="K696" i="2"/>
  <c r="K697" i="2" a="1"/>
  <c r="K697" i="2"/>
  <c r="K698" i="2" a="1"/>
  <c r="K698" i="2"/>
  <c r="K699" i="2" a="1"/>
  <c r="K699" i="2"/>
  <c r="K700" i="2" a="1"/>
  <c r="K700" i="2"/>
  <c r="K701" i="2" a="1"/>
  <c r="K701" i="2"/>
  <c r="K702" i="2" a="1"/>
  <c r="K702" i="2"/>
  <c r="K703" i="2" a="1"/>
  <c r="K703" i="2"/>
  <c r="K704" i="2" a="1"/>
  <c r="K704" i="2"/>
  <c r="K705" i="2" a="1"/>
  <c r="K705" i="2"/>
  <c r="K706" i="2" a="1"/>
  <c r="K706" i="2"/>
  <c r="K707" i="2" a="1"/>
  <c r="K707" i="2"/>
  <c r="K708" i="2" a="1"/>
  <c r="K708" i="2"/>
  <c r="K709" i="2" a="1"/>
  <c r="K709" i="2"/>
  <c r="K710" i="2" a="1"/>
  <c r="K710" i="2"/>
  <c r="K711" i="2" a="1"/>
  <c r="K711" i="2"/>
  <c r="K712" i="2" a="1"/>
  <c r="K712" i="2"/>
  <c r="K713" i="2" a="1"/>
  <c r="K713" i="2"/>
  <c r="K714" i="2" a="1"/>
  <c r="K714" i="2"/>
  <c r="K715" i="2" a="1"/>
  <c r="K715" i="2"/>
  <c r="K716" i="2" a="1"/>
  <c r="K716" i="2"/>
  <c r="K717" i="2" a="1"/>
  <c r="K717" i="2"/>
  <c r="K718" i="2" a="1"/>
  <c r="K718" i="2"/>
  <c r="K719" i="2" a="1"/>
  <c r="K719" i="2"/>
  <c r="K720" i="2" a="1"/>
  <c r="K720" i="2"/>
  <c r="K721" i="2" a="1"/>
  <c r="K721" i="2"/>
  <c r="K722" i="2" a="1"/>
  <c r="K722" i="2"/>
  <c r="K723" i="2" a="1"/>
  <c r="K723" i="2"/>
  <c r="K724" i="2" a="1"/>
  <c r="K724" i="2"/>
  <c r="K725" i="2" a="1"/>
  <c r="K725" i="2"/>
  <c r="K726" i="2" a="1"/>
  <c r="K726" i="2"/>
  <c r="K727" i="2" a="1"/>
  <c r="K727" i="2"/>
  <c r="K728" i="2" a="1"/>
  <c r="K728" i="2"/>
  <c r="K729" i="2" a="1"/>
  <c r="K729" i="2"/>
  <c r="K730" i="2" a="1"/>
  <c r="K730" i="2"/>
  <c r="K731" i="2" a="1"/>
  <c r="K731" i="2"/>
  <c r="K732" i="2" a="1"/>
  <c r="K732" i="2"/>
  <c r="K733" i="2" a="1"/>
  <c r="K733" i="2"/>
  <c r="K734" i="2" a="1"/>
  <c r="K734" i="2"/>
  <c r="K735" i="2" a="1"/>
  <c r="K735" i="2"/>
  <c r="K736" i="2" a="1"/>
  <c r="K736" i="2"/>
  <c r="K737" i="2" a="1"/>
  <c r="K737" i="2"/>
  <c r="K738" i="2" a="1"/>
  <c r="K738" i="2"/>
  <c r="K739" i="2" a="1"/>
  <c r="K739" i="2"/>
  <c r="K740" i="2" a="1"/>
  <c r="K740" i="2"/>
  <c r="K741" i="2" a="1"/>
  <c r="K741" i="2"/>
  <c r="K742" i="2" a="1"/>
  <c r="K742" i="2"/>
  <c r="K743" i="2" a="1"/>
  <c r="K743" i="2"/>
  <c r="K744" i="2" a="1"/>
  <c r="K744" i="2"/>
  <c r="K745" i="2" a="1"/>
  <c r="K745" i="2"/>
  <c r="K746" i="2" a="1"/>
  <c r="K746" i="2"/>
  <c r="K747" i="2" a="1"/>
  <c r="K747" i="2"/>
  <c r="K748" i="2" a="1"/>
  <c r="K748" i="2"/>
  <c r="K749" i="2" a="1"/>
  <c r="K749" i="2"/>
  <c r="K750" i="2" a="1"/>
  <c r="K750" i="2"/>
  <c r="K751" i="2" a="1"/>
  <c r="K751" i="2"/>
  <c r="K752" i="2" a="1"/>
  <c r="K752" i="2"/>
  <c r="K753" i="2" a="1"/>
  <c r="K753" i="2"/>
  <c r="K754" i="2" a="1"/>
  <c r="K754" i="2"/>
  <c r="K755" i="2" a="1"/>
  <c r="K755" i="2"/>
  <c r="K756" i="2" a="1"/>
  <c r="K756" i="2"/>
  <c r="K757" i="2" a="1"/>
  <c r="K757" i="2"/>
  <c r="K758" i="2" a="1"/>
  <c r="K758" i="2"/>
  <c r="K759" i="2" a="1"/>
  <c r="K759" i="2"/>
  <c r="K760" i="2" a="1"/>
  <c r="K760" i="2"/>
  <c r="K761" i="2" a="1"/>
  <c r="K761" i="2"/>
  <c r="K762" i="2" a="1"/>
  <c r="K762" i="2"/>
  <c r="K763" i="2" a="1"/>
  <c r="K763" i="2"/>
  <c r="K764" i="2" a="1"/>
  <c r="K764" i="2"/>
  <c r="K765" i="2" a="1"/>
  <c r="K765" i="2"/>
  <c r="K766" i="2" a="1"/>
  <c r="K766" i="2"/>
  <c r="K767" i="2" a="1"/>
  <c r="K767" i="2"/>
  <c r="K768" i="2" a="1"/>
  <c r="K768" i="2"/>
  <c r="K769" i="2" a="1"/>
  <c r="K769" i="2"/>
  <c r="K770" i="2" a="1"/>
  <c r="K770" i="2"/>
  <c r="K771" i="2" a="1"/>
  <c r="K771" i="2"/>
  <c r="K772" i="2" a="1"/>
  <c r="K772" i="2"/>
  <c r="K773" i="2" a="1"/>
  <c r="K773" i="2"/>
  <c r="K774" i="2" a="1"/>
  <c r="K774" i="2"/>
  <c r="K775" i="2" a="1"/>
  <c r="K775" i="2"/>
  <c r="K776" i="2" a="1"/>
  <c r="K776" i="2"/>
  <c r="K777" i="2" a="1"/>
  <c r="K777" i="2"/>
  <c r="K778" i="2" a="1"/>
  <c r="K778" i="2"/>
  <c r="K779" i="2" a="1"/>
  <c r="K779" i="2"/>
  <c r="K780" i="2" a="1"/>
  <c r="K780" i="2"/>
  <c r="K781" i="2" a="1"/>
  <c r="K781" i="2"/>
  <c r="K782" i="2" a="1"/>
  <c r="K782" i="2"/>
  <c r="K783" i="2" a="1"/>
  <c r="K783" i="2"/>
  <c r="K784" i="2" a="1"/>
  <c r="K784" i="2"/>
  <c r="K785" i="2" a="1"/>
  <c r="K785" i="2"/>
  <c r="K786" i="2" a="1"/>
  <c r="K786" i="2"/>
  <c r="K787" i="2" a="1"/>
  <c r="K787" i="2"/>
  <c r="K788" i="2" a="1"/>
  <c r="K788" i="2"/>
  <c r="K789" i="2" a="1"/>
  <c r="K789" i="2"/>
  <c r="K790" i="2" a="1"/>
  <c r="K790" i="2"/>
  <c r="K791" i="2" a="1"/>
  <c r="K791" i="2"/>
  <c r="K792" i="2" a="1"/>
  <c r="K792" i="2"/>
  <c r="K793" i="2" a="1"/>
  <c r="K793" i="2"/>
  <c r="K794" i="2" a="1"/>
  <c r="K794" i="2"/>
  <c r="K795" i="2" a="1"/>
  <c r="K795" i="2"/>
  <c r="K796" i="2" a="1"/>
  <c r="K796" i="2"/>
  <c r="K797" i="2" a="1"/>
  <c r="K797" i="2"/>
  <c r="K798" i="2" a="1"/>
  <c r="K798" i="2"/>
  <c r="K799" i="2" a="1"/>
  <c r="K799" i="2"/>
  <c r="K800" i="2" a="1"/>
  <c r="K800" i="2"/>
  <c r="K801" i="2" a="1"/>
  <c r="K801" i="2"/>
  <c r="K802" i="2" a="1"/>
  <c r="K802" i="2"/>
  <c r="K803" i="2" a="1"/>
  <c r="K803" i="2"/>
  <c r="K804" i="2" a="1"/>
  <c r="K804" i="2"/>
  <c r="K805" i="2" a="1"/>
  <c r="K805" i="2"/>
  <c r="K806" i="2" a="1"/>
  <c r="K806" i="2"/>
  <c r="K807" i="2" a="1"/>
  <c r="K807" i="2"/>
  <c r="K808" i="2" a="1"/>
  <c r="K808" i="2"/>
  <c r="K809" i="2" a="1"/>
  <c r="K809" i="2"/>
  <c r="K810" i="2" a="1"/>
  <c r="K810" i="2"/>
  <c r="K811" i="2" a="1"/>
  <c r="K811" i="2"/>
  <c r="K812" i="2" a="1"/>
  <c r="K812" i="2"/>
  <c r="K813" i="2" a="1"/>
  <c r="K813" i="2"/>
  <c r="K814" i="2" a="1"/>
  <c r="K814" i="2"/>
  <c r="K815" i="2" a="1"/>
  <c r="K815" i="2"/>
  <c r="K816" i="2" a="1"/>
  <c r="K816" i="2"/>
  <c r="K817" i="2" a="1"/>
  <c r="K817" i="2"/>
  <c r="K818" i="2" a="1"/>
  <c r="K818" i="2"/>
  <c r="K819" i="2" a="1"/>
  <c r="K819" i="2"/>
  <c r="K820" i="2" a="1"/>
  <c r="K820" i="2"/>
  <c r="K821" i="2" a="1"/>
  <c r="K821" i="2"/>
  <c r="K822" i="2" a="1"/>
  <c r="K822" i="2"/>
  <c r="K823" i="2" a="1"/>
  <c r="K823" i="2"/>
  <c r="K824" i="2" a="1"/>
  <c r="K824" i="2"/>
  <c r="K825" i="2" a="1"/>
  <c r="K825" i="2"/>
  <c r="K826" i="2" a="1"/>
  <c r="K826" i="2"/>
  <c r="K827" i="2" a="1"/>
  <c r="K827" i="2"/>
  <c r="K828" i="2" a="1"/>
  <c r="K828" i="2"/>
  <c r="K829" i="2" a="1"/>
  <c r="K829" i="2"/>
  <c r="K830" i="2" a="1"/>
  <c r="K830" i="2"/>
  <c r="K831" i="2" a="1"/>
  <c r="K831" i="2"/>
  <c r="K832" i="2" a="1"/>
  <c r="K832" i="2"/>
  <c r="K833" i="2" a="1"/>
  <c r="K833" i="2"/>
  <c r="K834" i="2" a="1"/>
  <c r="K834" i="2"/>
  <c r="K835" i="2" a="1"/>
  <c r="K835" i="2"/>
  <c r="K836" i="2" a="1"/>
  <c r="K836" i="2"/>
  <c r="K837" i="2" a="1"/>
  <c r="K837" i="2"/>
  <c r="K838" i="2" a="1"/>
  <c r="K838" i="2"/>
  <c r="K839" i="2" a="1"/>
  <c r="K839" i="2"/>
  <c r="K840" i="2" a="1"/>
  <c r="K840" i="2"/>
  <c r="K841" i="2" a="1"/>
  <c r="K841" i="2"/>
  <c r="K842" i="2" a="1"/>
  <c r="K842" i="2"/>
  <c r="K843" i="2" a="1"/>
  <c r="K843" i="2"/>
  <c r="K844" i="2" a="1"/>
  <c r="K844" i="2"/>
  <c r="K845" i="2" a="1"/>
  <c r="K845" i="2"/>
  <c r="K846" i="2" a="1"/>
  <c r="K846" i="2"/>
  <c r="K847" i="2" a="1"/>
  <c r="K847" i="2"/>
  <c r="K848" i="2" a="1"/>
  <c r="K848" i="2"/>
  <c r="K849" i="2" a="1"/>
  <c r="K849" i="2"/>
  <c r="K850" i="2" a="1"/>
  <c r="K850" i="2"/>
  <c r="K851" i="2" a="1"/>
  <c r="K851" i="2"/>
  <c r="K852" i="2" a="1"/>
  <c r="K852" i="2"/>
  <c r="K853" i="2" a="1"/>
  <c r="K853" i="2"/>
  <c r="K854" i="2" a="1"/>
  <c r="K854" i="2"/>
  <c r="K855" i="2" a="1"/>
  <c r="K855" i="2"/>
  <c r="K856" i="2" a="1"/>
  <c r="K856" i="2"/>
  <c r="K857" i="2" a="1"/>
  <c r="K857" i="2"/>
  <c r="K858" i="2" a="1"/>
  <c r="K858" i="2"/>
  <c r="K859" i="2" a="1"/>
  <c r="K859" i="2"/>
  <c r="K860" i="2" a="1"/>
  <c r="K860" i="2"/>
  <c r="K861" i="2" a="1"/>
  <c r="K861" i="2"/>
  <c r="K862" i="2" a="1"/>
  <c r="K862" i="2"/>
  <c r="K863" i="2" a="1"/>
  <c r="K863" i="2"/>
  <c r="K864" i="2" a="1"/>
  <c r="K864" i="2"/>
  <c r="K865" i="2" a="1"/>
  <c r="K865" i="2"/>
  <c r="K866" i="2" a="1"/>
  <c r="K866" i="2"/>
  <c r="K867" i="2" a="1"/>
  <c r="K867" i="2"/>
  <c r="K868" i="2" a="1"/>
  <c r="K868" i="2"/>
  <c r="K869" i="2" a="1"/>
  <c r="K869" i="2"/>
  <c r="K870" i="2" a="1"/>
  <c r="K870" i="2"/>
  <c r="K871" i="2" a="1"/>
  <c r="K871" i="2"/>
  <c r="K872" i="2" a="1"/>
  <c r="K872" i="2"/>
  <c r="K873" i="2" a="1"/>
  <c r="K873" i="2"/>
  <c r="K874" i="2" a="1"/>
  <c r="K874" i="2"/>
  <c r="K875" i="2" a="1"/>
  <c r="K875" i="2"/>
  <c r="K876" i="2" a="1"/>
  <c r="K876" i="2"/>
  <c r="K877" i="2" a="1"/>
  <c r="K877" i="2"/>
  <c r="K878" i="2" a="1"/>
  <c r="K878" i="2"/>
  <c r="K879" i="2" a="1"/>
  <c r="K879" i="2"/>
  <c r="K880" i="2" a="1"/>
  <c r="K880" i="2"/>
  <c r="K881" i="2" a="1"/>
  <c r="K881" i="2"/>
  <c r="K882" i="2" a="1"/>
  <c r="K882" i="2"/>
  <c r="K883" i="2" a="1"/>
  <c r="K883" i="2"/>
  <c r="K884" i="2" a="1"/>
  <c r="K884" i="2"/>
  <c r="K885" i="2" a="1"/>
  <c r="K885" i="2"/>
  <c r="K886" i="2" a="1"/>
  <c r="K886" i="2"/>
  <c r="K887" i="2" a="1"/>
  <c r="K887" i="2"/>
  <c r="K888" i="2" a="1"/>
  <c r="K888" i="2"/>
  <c r="K889" i="2" a="1"/>
  <c r="K889" i="2"/>
  <c r="K890" i="2" a="1"/>
  <c r="K890" i="2"/>
  <c r="K891" i="2" a="1"/>
  <c r="K891" i="2"/>
  <c r="K892" i="2" a="1"/>
  <c r="K892" i="2"/>
  <c r="K893" i="2" a="1"/>
  <c r="K893" i="2"/>
  <c r="K894" i="2" a="1"/>
  <c r="K894" i="2"/>
  <c r="K895" i="2" a="1"/>
  <c r="K895" i="2"/>
  <c r="K896" i="2" a="1"/>
  <c r="K896" i="2"/>
  <c r="K897" i="2" a="1"/>
  <c r="K897" i="2"/>
  <c r="K898" i="2" a="1"/>
  <c r="K898" i="2"/>
  <c r="K899" i="2" a="1"/>
  <c r="K899" i="2"/>
  <c r="K900" i="2" a="1"/>
  <c r="K900" i="2"/>
  <c r="K901" i="2" a="1"/>
  <c r="K901" i="2"/>
  <c r="K902" i="2" a="1"/>
  <c r="K902" i="2"/>
  <c r="K903" i="2" a="1"/>
  <c r="K903" i="2"/>
  <c r="K904" i="2" a="1"/>
  <c r="K904" i="2"/>
  <c r="K905" i="2" a="1"/>
  <c r="K905" i="2"/>
  <c r="K906" i="2" a="1"/>
  <c r="K906" i="2"/>
  <c r="K907" i="2" a="1"/>
  <c r="K907" i="2"/>
  <c r="K908" i="2" a="1"/>
  <c r="K908" i="2"/>
  <c r="K909" i="2" a="1"/>
  <c r="K909" i="2"/>
  <c r="K910" i="2" a="1"/>
  <c r="K910" i="2"/>
  <c r="K911" i="2" a="1"/>
  <c r="K911" i="2"/>
  <c r="K912" i="2" a="1"/>
  <c r="K912" i="2"/>
  <c r="K913" i="2" a="1"/>
  <c r="K913" i="2"/>
  <c r="K914" i="2" a="1"/>
  <c r="K914" i="2"/>
  <c r="K915" i="2" a="1"/>
  <c r="K915" i="2"/>
  <c r="K916" i="2" a="1"/>
  <c r="K916" i="2"/>
  <c r="K917" i="2" a="1"/>
  <c r="K917" i="2"/>
  <c r="K918" i="2" a="1"/>
  <c r="K918" i="2"/>
  <c r="K919" i="2" a="1"/>
  <c r="K919" i="2"/>
  <c r="K920" i="2" a="1"/>
  <c r="K920" i="2"/>
  <c r="K921" i="2" a="1"/>
  <c r="K921" i="2"/>
  <c r="K922" i="2" a="1"/>
  <c r="K922" i="2"/>
  <c r="K923" i="2" a="1"/>
  <c r="K923" i="2"/>
  <c r="K924" i="2" a="1"/>
  <c r="K924" i="2"/>
  <c r="K925" i="2" a="1"/>
  <c r="K925" i="2"/>
  <c r="K926" i="2" a="1"/>
  <c r="K926" i="2"/>
  <c r="K927" i="2" a="1"/>
  <c r="K927" i="2"/>
  <c r="K928" i="2" a="1"/>
  <c r="K928" i="2"/>
  <c r="K929" i="2" a="1"/>
  <c r="K929" i="2"/>
  <c r="K930" i="2" a="1"/>
  <c r="K930" i="2"/>
  <c r="K931" i="2" a="1"/>
  <c r="K931" i="2"/>
  <c r="K932" i="2" a="1"/>
  <c r="K932" i="2"/>
  <c r="K933" i="2" a="1"/>
  <c r="K933" i="2"/>
  <c r="K934" i="2" a="1"/>
  <c r="K934" i="2"/>
  <c r="K935" i="2" a="1"/>
  <c r="K935" i="2"/>
  <c r="K936" i="2" a="1"/>
  <c r="K936" i="2"/>
  <c r="K937" i="2" a="1"/>
  <c r="K937" i="2"/>
  <c r="K938" i="2" a="1"/>
  <c r="K938" i="2"/>
  <c r="K939" i="2" a="1"/>
  <c r="K939" i="2"/>
  <c r="K940" i="2" a="1"/>
  <c r="K940" i="2"/>
  <c r="K941" i="2" a="1"/>
  <c r="K941" i="2"/>
  <c r="K942" i="2" a="1"/>
  <c r="K942" i="2"/>
  <c r="K943" i="2" a="1"/>
  <c r="K943" i="2"/>
  <c r="K944" i="2" a="1"/>
  <c r="K944" i="2"/>
  <c r="K945" i="2" a="1"/>
  <c r="K945" i="2"/>
  <c r="K946" i="2" a="1"/>
  <c r="K946" i="2"/>
  <c r="K947" i="2" a="1"/>
  <c r="K947" i="2"/>
  <c r="K948" i="2" a="1"/>
  <c r="K948" i="2"/>
  <c r="K949" i="2" a="1"/>
  <c r="K949" i="2"/>
  <c r="K950" i="2" a="1"/>
  <c r="K950" i="2"/>
  <c r="K951" i="2" a="1"/>
  <c r="K951" i="2"/>
  <c r="K952" i="2" a="1"/>
  <c r="K952" i="2"/>
  <c r="K953" i="2" a="1"/>
  <c r="K953" i="2"/>
  <c r="K954" i="2" a="1"/>
  <c r="K954" i="2"/>
  <c r="K955" i="2" a="1"/>
  <c r="K955" i="2"/>
  <c r="K956" i="2" a="1"/>
  <c r="K956" i="2"/>
  <c r="K957" i="2" a="1"/>
  <c r="K957" i="2"/>
  <c r="K958" i="2" a="1"/>
  <c r="K958" i="2"/>
  <c r="K959" i="2" a="1"/>
  <c r="K959" i="2"/>
  <c r="K960" i="2" a="1"/>
  <c r="K960" i="2"/>
  <c r="K961" i="2" a="1"/>
  <c r="K961" i="2"/>
  <c r="K962" i="2" a="1"/>
  <c r="K962" i="2"/>
  <c r="K963" i="2" a="1"/>
  <c r="K963" i="2"/>
  <c r="K964" i="2" a="1"/>
  <c r="K964" i="2"/>
  <c r="K965" i="2" a="1"/>
  <c r="K965" i="2"/>
  <c r="K966" i="2" a="1"/>
  <c r="K966" i="2"/>
  <c r="K967" i="2" a="1"/>
  <c r="K967" i="2"/>
  <c r="K968" i="2" a="1"/>
  <c r="K968" i="2"/>
  <c r="K969" i="2" a="1"/>
  <c r="K969" i="2"/>
  <c r="K970" i="2" a="1"/>
  <c r="K970" i="2"/>
  <c r="K971" i="2" a="1"/>
  <c r="K971" i="2"/>
  <c r="K972" i="2" a="1"/>
  <c r="K972" i="2"/>
  <c r="K973" i="2" a="1"/>
  <c r="K973" i="2"/>
  <c r="K974" i="2" a="1"/>
  <c r="K974" i="2"/>
  <c r="K975" i="2" a="1"/>
  <c r="K975" i="2"/>
  <c r="K976" i="2" a="1"/>
  <c r="K976" i="2"/>
  <c r="K977" i="2" a="1"/>
  <c r="K977" i="2"/>
  <c r="K978" i="2" a="1"/>
  <c r="K978" i="2"/>
  <c r="K979" i="2" a="1"/>
  <c r="K979" i="2"/>
  <c r="K980" i="2" a="1"/>
  <c r="K980" i="2"/>
  <c r="K981" i="2" a="1"/>
  <c r="K981" i="2"/>
  <c r="K982" i="2" a="1"/>
  <c r="K982" i="2"/>
  <c r="K983" i="2" a="1"/>
  <c r="K983" i="2"/>
  <c r="K984" i="2" a="1"/>
  <c r="K984" i="2"/>
  <c r="K985" i="2" a="1"/>
  <c r="K985" i="2"/>
  <c r="K986" i="2" a="1"/>
  <c r="K986" i="2"/>
  <c r="K987" i="2" a="1"/>
  <c r="K987" i="2"/>
  <c r="K988" i="2" a="1"/>
  <c r="K988" i="2"/>
  <c r="K989" i="2" a="1"/>
  <c r="K989" i="2"/>
  <c r="K990" i="2" a="1"/>
  <c r="K990" i="2"/>
  <c r="K991" i="2" a="1"/>
  <c r="K991" i="2"/>
  <c r="K992" i="2" a="1"/>
  <c r="K992" i="2"/>
  <c r="K993" i="2" a="1"/>
  <c r="K993" i="2"/>
  <c r="K994" i="2" a="1"/>
  <c r="K994" i="2"/>
  <c r="K995" i="2" a="1"/>
  <c r="K995" i="2"/>
  <c r="K996" i="2" a="1"/>
  <c r="K996" i="2"/>
  <c r="K997" i="2" a="1"/>
  <c r="K997" i="2"/>
  <c r="K998" i="2" a="1"/>
  <c r="K998" i="2"/>
  <c r="K999" i="2" a="1"/>
  <c r="K999" i="2"/>
  <c r="K1000" i="2" a="1"/>
  <c r="K1000" i="2"/>
  <c r="K1001" i="2" a="1"/>
  <c r="K1001" i="2"/>
  <c r="K1002" i="2" a="1"/>
  <c r="K1002" i="2"/>
  <c r="K1003" i="2" a="1"/>
  <c r="K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0" i="6"/>
  <c r="I48" i="6"/>
  <c r="I47" i="6" l="1"/>
  <c r="J49" i="6"/>
  <c r="I50" i="6"/>
  <c r="J48" i="6"/>
  <c r="I46" i="6"/>
  <c r="J47" i="6"/>
  <c r="J4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FAD41B-284E-4C90-AD89-23C6105882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AC14B0B-ECDD-4380-A001-5EDFEB13DDBA}"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0F7BB48D-CAD2-472E-8179-49CF9E1CDE5D}"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<sst xmlns="http://schemas.openxmlformats.org/spreadsheetml/2006/main" count="3210" uniqueCount="1117">
  <si>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</si>
  <si>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</si>
  <si>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</si>
  <si>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</si>
  <si>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</si>
  <si>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</si>
  <si>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</si>
  <si>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</si>
  <si>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</si>
  <si>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</si>
  <si>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</si>
  <si>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</si>
  <si>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</si>
  <si>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</si>
  <si>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</si>
  <si>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</si>
  <si>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</si>
  <si>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</si>
  <si>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</si>
  <si>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</si>
  <si>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</si>
  <si>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</si>
  <si>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</si>
  <si>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</si>
  <si>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</si>
  <si>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</si>
  <si>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</si>
  <si>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</si>
  <si>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</si>
  <si>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</si>
  <si>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</si>
  <si>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</si>
  <si>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</si>
  <si>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</si>
  <si>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</si>
  <si>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</si>
  <si>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</si>
  <si>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</si>
  <si>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</si>
  <si>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</si>
  <si>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</si>
  <si>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</si>
  <si>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</si>
  <si>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</si>
  <si>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</si>
  <si>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</si>
  <si>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</si>
  <si>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</si>
  <si>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</si>
  <si>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</si>
  <si>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</si>
  <si>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</si>
  <si>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</si>
  <si>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</si>
  <si>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</si>
  <si>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</si>
  <si>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</si>
  <si>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</si>
  <si>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</si>
  <si>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</si>
  <si>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</si>
  <si>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</si>
  <si>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</si>
  <si>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</si>
  <si>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</si>
  <si>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</si>
  <si>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</si>
  <si>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</si>
  <si>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</si>
  <si>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</si>
  <si>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</si>
  <si>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</si>
  <si>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</si>
  <si>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</si>
  <si>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</si>
  <si>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</si>
  <si>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</si>
  <si>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</si>
  <si>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</si>
  <si>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</si>
  <si>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</si>
  <si>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</si>
  <si>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</si>
  <si>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</si>
  <si>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</si>
  <si>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</si>
  <si>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</si>
  <si>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</si>
  <si>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</si>
  <si>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</si>
  <si>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</si>
  <si>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</si>
  <si>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</si>
  <si>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</si>
  <si>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</si>
  <si>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</si>
  <si>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</si>
  <si>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</si>
  <si>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</si>
  <si>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</si>
  <si>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</si>
  <si>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</si>
  <si>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</si>
  <si>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</si>
  <si>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</si>
  <si>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</si>
  <si>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</si>
  <si>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</si>
  <si>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</si>
  <si>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</si>
  <si>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</si>
  <si>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</si>
  <si>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</si>
  <si>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</si>
  <si>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</si>
  <si>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</si>
  <si>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</si>
  <si>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</si>
  <si>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</si>
  <si>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</si>
  <si>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</si>
  <si>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</si>
  <si>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</si>
  <si>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</si>
  <si>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</si>
  <si>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</si>
  <si>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</si>
  <si>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</si>
  <si>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</si>
  <si>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</si>
  <si>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</si>
  <si>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</si>
  <si>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</si>
  <si>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</si>
  <si>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</si>
  <si>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</si>
  <si>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</si>
  <si>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</si>
  <si>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</si>
  <si>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</si>
  <si>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</si>
  <si>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</si>
  <si>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</si>
  <si>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</si>
  <si>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</si>
  <si>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</si>
  <si>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</si>
  <si>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</si>
  <si>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</si>
  <si>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</si>
  <si>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</si>
  <si>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</si>
  <si>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</si>
  <si>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</si>
  <si>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</si>
  <si>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</si>
  <si>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</si>
  <si>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</si>
  <si>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</si>
  <si>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</si>
  <si>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</si>
  <si>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</si>
  <si>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</si>
  <si>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</si>
  <si>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</si>
  <si>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</si>
  <si>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</si>
  <si>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</si>
  <si>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</si>
  <si>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</si>
  <si>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</si>
  <si>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</si>
  <si>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</si>
  <si>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</si>
  <si>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</si>
  <si>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</si>
  <si>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</si>
  <si>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</si>
  <si>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</si>
  <si>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</si>
  <si>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</si>
  <si>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</si>
  <si>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</si>
  <si>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</si>
  <si>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</si>
  <si>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</si>
  <si>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</si>
  <si>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</si>
  <si>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</si>
  <si>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</si>
  <si>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</si>
  <si>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</si>
  <si>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</si>
  <si>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</si>
  <si>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</si>
  <si>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</si>
  <si>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</si>
  <si>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</si>
  <si>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</si>
  <si>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</si>
  <si>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</si>
  <si>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</si>
  <si>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</si>
  <si>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</si>
  <si>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</si>
  <si>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</si>
  <si>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</si>
  <si>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</si>
  <si>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</si>
  <si>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</si>
  <si>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</si>
  <si>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</si>
  <si>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</si>
  <si>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</si>
  <si>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</si>
  <si>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</si>
  <si>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</si>
  <si>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</si>
  <si>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</si>
  <si>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</si>
  <si>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</si>
  <si>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</si>
  <si>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</si>
  <si>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</si>
  <si>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</si>
  <si>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</si>
  <si>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</si>
  <si>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</si>
  <si>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</si>
  <si>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</si>
  <si>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</si>
  <si>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</si>
  <si>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</si>
  <si>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</si>
  <si>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</si>
  <si>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</si>
  <si>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</si>
  <si>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</si>
  <si>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</si>
  <si>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</si>
  <si>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</si>
  <si>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</si>
  <si>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</si>
  <si>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</si>
  <si>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</si>
  <si>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</si>
  <si>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</si>
  <si>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</si>
  <si>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</si>
  <si>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</si>
  <si>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</si>
  <si>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</si>
  <si>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</si>
  <si>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</si>
  <si>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</si>
  <si>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</si>
  <si>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</si>
  <si>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</si>
  <si>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</si>
  <si>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</si>
  <si>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</si>
  <si>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</si>
  <si>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</si>
  <si>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</si>
  <si>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</si>
  <si>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</si>
  <si>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</si>
  <si>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</si>
  <si>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</si>
  <si>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</si>
  <si>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</si>
  <si>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</si>
  <si>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</si>
  <si>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</si>
  <si>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</si>
  <si>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</si>
  <si>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</si>
  <si>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</si>
  <si>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</si>
  <si>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</si>
  <si>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</si>
  <si>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</si>
  <si>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</si>
  <si>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</si>
  <si>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</si>
  <si>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</si>
  <si>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</si>
  <si>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</si>
  <si>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</si>
  <si>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</si>
  <si>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</si>
  <si>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</si>
  <si>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</si>
  <si>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</si>
  <si>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</si>
  <si>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</si>
  <si>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</si>
  <si>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</si>
  <si>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</si>
  <si>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</si>
  <si>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</si>
  <si>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</si>
  <si>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</si>
  <si>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</si>
  <si>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</si>
  <si>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</si>
  <si>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</si>
  <si>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</si>
  <si>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</si>
  <si>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</si>
  <si>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</si>
  <si>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</si>
  <si>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</si>
  <si>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</si>
  <si>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</si>
  <si>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</si>
  <si>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</si>
  <si>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</si>
  <si>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</si>
  <si>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</si>
  <si>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</si>
  <si>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</si>
  <si>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</si>
  <si>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</si>
  <si>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</si>
  <si>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</si>
  <si>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</si>
  <si>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</si>
  <si>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</si>
  <si>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</si>
  <si>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</si>
  <si>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</si>
  <si>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</si>
  <si>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</si>
  <si>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</si>
  <si>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</si>
  <si>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</si>
  <si>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</si>
  <si>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</si>
  <si>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</si>
  <si>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</si>
  <si>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</si>
  <si>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</si>
  <si>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</si>
  <si>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</si>
  <si>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</si>
  <si>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</si>
  <si>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</si>
  <si>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</si>
  <si>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</si>
  <si>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</si>
  <si>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</si>
  <si>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</si>
  <si>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</si>
  <si>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</si>
  <si>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</si>
  <si>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</si>
  <si>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</si>
  <si>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</si>
  <si>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</si>
  <si>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</si>
  <si>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</si>
  <si>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</si>
  <si>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</si>
  <si>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</si>
  <si>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</si>
  <si>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</si>
  <si>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</si>
  <si>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</si>
  <si>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</si>
  <si>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</si>
  <si>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</si>
  <si>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</si>
  <si>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</si>
  <si>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</si>
  <si>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</si>
  <si>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</si>
  <si>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</si>
  <si>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</si>
  <si>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</si>
  <si>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</si>
  <si>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</si>
  <si>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</si>
  <si>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</si>
  <si>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</si>
  <si>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</si>
  <si>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</si>
  <si>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</si>
  <si>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</si>
  <si>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</si>
  <si>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</si>
  <si>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</si>
  <si>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</si>
  <si>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</si>
  <si>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</si>
  <si>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</si>
  <si>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</si>
  <si>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</si>
  <si>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</si>
  <si>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</si>
  <si>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</si>
  <si>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</si>
  <si>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</si>
  <si>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</si>
  <si>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</si>
  <si>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</si>
  <si>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</si>
  <si>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</si>
  <si>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</si>
  <si>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</si>
  <si>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</si>
  <si>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</si>
  <si>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</si>
  <si>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</si>
  <si>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</si>
  <si>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</si>
  <si>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</si>
  <si>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</si>
  <si>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</si>
  <si>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</si>
  <si>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</si>
  <si>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</si>
  <si>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</si>
  <si>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</si>
  <si>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</si>
  <si>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</si>
  <si>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</si>
  <si>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</si>
  <si>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</si>
  <si>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</si>
  <si>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</si>
  <si>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</si>
  <si>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</si>
  <si>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</si>
  <si>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</si>
  <si>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</si>
  <si>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</si>
  <si>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</si>
  <si>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</si>
  <si>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</si>
  <si>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</si>
  <si>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</si>
  <si>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</si>
  <si>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</si>
  <si>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</si>
  <si>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</si>
  <si>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</si>
  <si>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</si>
  <si>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</si>
  <si>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</si>
  <si>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</si>
  <si>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</si>
  <si>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</si>
  <si>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</si>
  <si>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</si>
  <si>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</si>
  <si>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</si>
  <si>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</si>
  <si>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</si>
  <si>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</si>
  <si>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</si>
  <si>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</si>
  <si>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</si>
  <si>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</si>
  <si>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</si>
  <si>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</si>
  <si>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</si>
  <si>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</si>
  <si>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</si>
  <si>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</si>
  <si>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</si>
  <si>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</si>
  <si>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</si>
  <si>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</si>
  <si>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</si>
  <si>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</si>
  <si>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</si>
  <si>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</si>
  <si>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</si>
  <si>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</si>
  <si>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</si>
  <si>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</si>
  <si>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</si>
  <si>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</si>
  <si>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</si>
  <si>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</si>
  <si>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</si>
  <si>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</si>
  <si>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</si>
  <si>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</si>
  <si>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</si>
  <si>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</si>
  <si>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</si>
  <si>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</si>
  <si>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</si>
  <si>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</si>
  <si>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</si>
  <si>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</si>
  <si>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</si>
  <si>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</si>
  <si>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</si>
  <si>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</si>
  <si>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</si>
  <si>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</si>
  <si>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</si>
  <si>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</si>
  <si>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</si>
  <si>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</si>
  <si>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</si>
  <si>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</si>
  <si>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</si>
  <si>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</si>
  <si>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</si>
  <si>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</si>
  <si>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</si>
  <si>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</si>
  <si>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</si>
  <si>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</si>
  <si>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</si>
  <si>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</si>
  <si>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</si>
  <si>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</si>
  <si>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</si>
  <si>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</si>
  <si>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</si>
  <si>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</si>
  <si>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</si>
  <si>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</si>
  <si>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</si>
  <si>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</si>
  <si>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</si>
  <si>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</si>
  <si>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</si>
  <si>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</si>
  <si>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</si>
  <si>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</si>
  <si>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</si>
  <si>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</si>
  <si>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</si>
  <si>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</si>
  <si>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</si>
  <si>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</si>
  <si>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</si>
  <si>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</si>
  <si>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</si>
  <si>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</si>
  <si>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</si>
  <si>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</si>
  <si>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</si>
  <si>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</si>
  <si>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</si>
  <si>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</si>
  <si>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</si>
  <si>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</si>
  <si>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</si>
  <si>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</si>
  <si>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</si>
  <si>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</si>
  <si>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</si>
  <si>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</si>
  <si>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</si>
  <si>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</si>
  <si>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</si>
  <si>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</si>
  <si>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</si>
  <si>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</si>
  <si>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</si>
  <si>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</si>
  <si>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</si>
  <si>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</si>
  <si>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</si>
  <si>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</si>
  <si>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</si>
  <si>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</si>
  <si>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</si>
  <si>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</si>
  <si>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</si>
  <si>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</si>
  <si>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</si>
  <si>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</si>
  <si>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</si>
  <si>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</si>
  <si>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</si>
  <si>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</si>
  <si>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</si>
  <si>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</si>
  <si>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</si>
  <si>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</si>
  <si>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</si>
  <si>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</si>
  <si>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</si>
  <si>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</si>
  <si>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</si>
  <si>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</si>
  <si>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</si>
  <si>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</si>
  <si>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</si>
  <si>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</si>
  <si>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</si>
  <si>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</si>
  <si>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</si>
  <si>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</si>
  <si>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</si>
  <si>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</si>
  <si>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</si>
  <si>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</si>
  <si>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</si>
  <si>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</si>
  <si>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</si>
  <si>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</si>
  <si>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</si>
  <si>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</si>
  <si>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</si>
  <si>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</si>
  <si>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</si>
  <si>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</si>
  <si>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</si>
  <si>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</si>
  <si>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</si>
  <si>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</si>
  <si>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</si>
  <si>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</si>
  <si>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</si>
  <si>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</si>
  <si>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</si>
  <si>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</si>
  <si>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</si>
  <si>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</si>
  <si>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</si>
  <si>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</si>
  <si>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</si>
  <si>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</si>
  <si>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</si>
  <si>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</si>
  <si>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</si>
  <si>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</si>
  <si>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</si>
  <si>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</si>
  <si>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</si>
  <si>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</si>
  <si>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</si>
  <si>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</si>
  <si>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</si>
  <si>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</si>
  <si>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</si>
  <si>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</si>
  <si>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</si>
  <si>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</si>
  <si>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</si>
  <si>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</si>
  <si>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</si>
  <si>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</si>
  <si>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</si>
  <si>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</si>
  <si>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</si>
  <si>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</si>
  <si>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</si>
  <si>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</si>
  <si>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</si>
  <si>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</si>
  <si>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</si>
  <si>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</si>
  <si>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</si>
  <si>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</si>
  <si>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</si>
  <si>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</si>
  <si>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</si>
  <si>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</si>
  <si>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</si>
  <si>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</si>
  <si>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</si>
  <si>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</si>
  <si>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</si>
  <si>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</si>
  <si>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</si>
  <si>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</si>
  <si>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</si>
  <si>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</si>
  <si>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</si>
  <si>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</si>
  <si>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</si>
  <si>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</si>
  <si>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</si>
  <si>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</si>
  <si>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</si>
  <si>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</si>
  <si>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</si>
  <si>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</si>
  <si>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</si>
  <si>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</si>
  <si>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</si>
  <si>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</si>
  <si>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</si>
  <si>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</si>
  <si>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</si>
  <si>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</si>
  <si>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</si>
  <si>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</si>
  <si>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</si>
  <si>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</si>
  <si>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</si>
  <si>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</si>
  <si>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</si>
  <si>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</si>
  <si>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</si>
  <si>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</si>
  <si>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</si>
  <si>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</si>
  <si>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</si>
  <si>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</si>
  <si>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</si>
  <si>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</si>
  <si>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</si>
  <si>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</si>
  <si>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</si>
  <si>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</si>
  <si>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</si>
  <si>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</si>
  <si>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</si>
  <si>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</si>
  <si>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</si>
  <si>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</si>
  <si>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</si>
  <si>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</si>
  <si>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</si>
  <si>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</si>
  <si>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</si>
  <si>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</si>
  <si>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</si>
  <si>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</si>
  <si>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</si>
  <si>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</si>
  <si>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</si>
  <si>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</si>
  <si>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</si>
  <si>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</si>
  <si>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</si>
  <si>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</si>
  <si>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</si>
  <si>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</si>
  <si>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</si>
  <si>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</si>
  <si>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</si>
  <si>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</si>
  <si>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</si>
  <si>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</si>
  <si>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</si>
  <si>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</si>
  <si>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</si>
  <si>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</si>
  <si>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</si>
  <si>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</si>
  <si>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</si>
  <si>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</si>
  <si>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</si>
  <si>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</si>
  <si>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</si>
  <si>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</si>
  <si>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</si>
  <si>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</si>
  <si>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</si>
  <si>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</si>
  <si>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</si>
  <si>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</si>
  <si>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</si>
  <si>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</si>
  <si>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</si>
  <si>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</si>
  <si>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</si>
  <si>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</si>
  <si>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</si>
  <si>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</si>
  <si>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</si>
  <si>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</si>
  <si>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</si>
  <si>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</si>
  <si>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</si>
  <si>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</si>
  <si>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</si>
  <si>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</si>
  <si>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</si>
  <si>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</si>
  <si>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</si>
  <si>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</si>
  <si>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</si>
  <si>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</si>
  <si>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</si>
  <si>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</si>
  <si>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</si>
  <si>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</si>
  <si>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</si>
  <si>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</si>
  <si>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</si>
  <si>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</si>
  <si>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</si>
  <si>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</si>
  <si>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</si>
  <si>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</si>
  <si>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</si>
  <si>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</si>
  <si>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</si>
  <si>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</si>
  <si>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</si>
  <si>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</si>
  <si>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</si>
  <si>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</si>
  <si>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</si>
  <si>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</si>
  <si>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</si>
  <si>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</si>
  <si>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</si>
  <si>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</si>
  <si>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</si>
  <si>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</si>
  <si>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</si>
  <si>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</si>
  <si>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</si>
  <si>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</si>
  <si>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</si>
  <si>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</si>
  <si>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</si>
  <si>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</si>
  <si>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</si>
  <si>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</si>
  <si>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</si>
  <si>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</si>
  <si>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</si>
  <si>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</si>
  <si>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</si>
  <si>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</si>
  <si>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</si>
  <si>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</si>
  <si>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</si>
  <si>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</si>
  <si>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</si>
  <si>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</si>
  <si>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</si>
  <si>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</si>
  <si>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</si>
  <si>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</si>
  <si>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</si>
  <si>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</si>
  <si>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</si>
  <si>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</si>
  <si>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</si>
  <si>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</si>
  <si>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</si>
  <si>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</si>
  <si>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</si>
  <si>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</si>
  <si>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</si>
  <si>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</si>
  <si>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</si>
  <si>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</si>
  <si>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</si>
  <si>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</si>
  <si>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</si>
  <si>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</si>
  <si>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</si>
  <si>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</si>
  <si>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</si>
  <si>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</si>
  <si>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</si>
  <si>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</si>
  <si>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</si>
  <si>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</si>
  <si>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</si>
  <si>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</si>
  <si>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</si>
  <si>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</si>
  <si>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</si>
  <si>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</si>
  <si>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</si>
  <si>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</si>
  <si>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</si>
  <si>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</si>
  <si>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</si>
  <si>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</si>
  <si>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</si>
  <si>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</si>
  <si>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</si>
  <si>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</si>
  <si>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</si>
  <si>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</si>
  <si>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</si>
  <si>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</si>
  <si>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</si>
  <si>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</si>
  <si>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</si>
  <si>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</si>
  <si>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</si>
  <si>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</si>
  <si>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</si>
  <si>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</si>
  <si>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</si>
  <si>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</si>
  <si>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</si>
  <si>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</si>
  <si>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</si>
  <si>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</si>
  <si>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</si>
  <si>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</si>
  <si>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</si>
  <si>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</si>
  <si>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</si>
  <si>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</si>
  <si>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</si>
  <si>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</si>
  <si>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</si>
  <si>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</si>
  <si>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</si>
  <si>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</si>
  <si>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</si>
  <si>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</si>
  <si>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</si>
  <si>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</si>
  <si>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</si>
  <si>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</si>
  <si>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</si>
  <si>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</si>
  <si>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</si>
  <si>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</si>
  <si>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</si>
  <si>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</si>
  <si>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</si>
  <si>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</si>
  <si>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</si>
  <si>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</si>
  <si>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</si>
  <si>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</si>
  <si>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</si>
  <si>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</si>
  <si>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</si>
  <si>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</si>
  <si>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</si>
  <si>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</si>
  <si>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</si>
  <si>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</si>
  <si>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</si>
  <si>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</si>
  <si>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</si>
  <si>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</si>
  <si>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</si>
  <si>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</si>
  <si>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</si>
  <si>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</si>
  <si>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</si>
  <si>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</si>
  <si>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</si>
  <si>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</si>
  <si>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</si>
  <si>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</si>
  <si>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</si>
  <si>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</si>
  <si>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</si>
  <si>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</si>
  <si>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</si>
  <si>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</si>
  <si>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</si>
  <si>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</si>
  <si>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</si>
  <si>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</si>
  <si>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</si>
  <si>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</si>
  <si>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</si>
  <si>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</si>
  <si>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</si>
  <si>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</si>
  <si>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</si>
  <si>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</si>
  <si>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</si>
  <si>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</si>
  <si>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</si>
  <si>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</si>
  <si>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</si>
  <si>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</si>
  <si>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</si>
  <si>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</si>
  <si>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</si>
  <si>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</si>
  <si>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</si>
  <si>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</si>
  <si>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</si>
  <si>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</si>
  <si>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</si>
  <si>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</si>
  <si>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</si>
  <si>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</si>
  <si>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</si>
  <si>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</si>
  <si>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</si>
  <si>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</si>
  <si>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</si>
  <si>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</si>
  <si>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</si>
  <si>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</si>
  <si>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</si>
  <si>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</si>
  <si>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</si>
  <si>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</si>
  <si>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</si>
  <si>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</si>
  <si>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</si>
  <si>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</si>
  <si>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</si>
  <si>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</si>
  <si>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</si>
  <si>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</si>
  <si>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</si>
  <si>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</si>
  <si>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</si>
  <si>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</si>
  <si>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</si>
  <si>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</si>
  <si>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</si>
  <si>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</si>
  <si>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</si>
  <si>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</si>
  <si>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</si>
  <si>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</si>
  <si>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</si>
  <si>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</si>
  <si>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</si>
  <si>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</si>
  <si>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</si>
  <si>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</si>
  <si>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</si>
  <si>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</si>
  <si>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</si>
  <si>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</si>
  <si>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</si>
  <si>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</si>
  <si>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</si>
  <si>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</si>
  <si>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</si>
  <si>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</si>
  <si>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</si>
  <si>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</si>
  <si>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</si>
  <si>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</si>
  <si>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</si>
  <si>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</si>
  <si>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</si>
  <si>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</si>
  <si>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Durations</t>
  </si>
  <si>
    <t>Avg. 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</si>
  <si>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</si>
  <si>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</si>
  <si>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</si>
  <si>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</si>
  <si>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</si>
  <si>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</si>
  <si>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</si>
  <si>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</si>
  <si>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</si>
  <si>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</si>
  <si>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</si>
  <si>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</si>
  <si>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</si>
  <si>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</si>
  <si>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</si>
  <si>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</si>
  <si>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</si>
  <si>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</si>
  <si>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</si>
  <si>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</si>
  <si>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</si>
  <si>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</si>
  <si>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</si>
  <si>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</si>
  <si>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</si>
  <si>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t>
  </si>
  <si>
    <t>Amount</t>
  </si>
  <si>
    <t xml:space="preserve"> </t>
  </si>
  <si>
    <t>best Trick to Note</t>
  </si>
  <si>
    <t>Selected rep</t>
  </si>
  <si>
    <t>Sel.calls</t>
  </si>
  <si>
    <t>Sel.Amt</t>
  </si>
  <si>
    <t>Column Labels</t>
  </si>
  <si>
    <t>Total</t>
  </si>
  <si>
    <t>Rep Summary</t>
  </si>
  <si>
    <t>% of Calls</t>
  </si>
  <si>
    <t>Call Rank</t>
  </si>
  <si>
    <t>Amount Rank</t>
  </si>
  <si>
    <t>Labels</t>
  </si>
  <si>
    <r>
      <t>Call Volume and Trends</t>
    </r>
    <r>
      <rPr>
        <sz val="11"/>
        <color theme="1"/>
        <rFont val="Aptos"/>
        <family val="2"/>
        <scheme val="minor"/>
      </rPr>
      <t>:</t>
    </r>
  </si>
  <si>
    <t>The call trend graph shows fluctuations, with peaks in April and October. Identifying the reasons behind these peaks can help you plan and optimize resources during high-demand periods.</t>
  </si>
  <si>
    <r>
      <t>Revenue Generation</t>
    </r>
    <r>
      <rPr>
        <sz val="11"/>
        <color theme="1"/>
        <rFont val="Aptos"/>
        <family val="2"/>
        <scheme val="minor"/>
      </rPr>
      <t>:</t>
    </r>
  </si>
  <si>
    <t>The total revenue generated is $96,623. Some representatives (e.g., R02 and R05) generate higher amounts. Focusing on their strategies and training others can help increase overall revenue.</t>
  </si>
  <si>
    <r>
      <t>Call Durations</t>
    </r>
    <r>
      <rPr>
        <sz val="11"/>
        <color theme="1"/>
        <rFont val="Aptos"/>
        <family val="2"/>
        <scheme val="minor"/>
      </rPr>
      <t>:</t>
    </r>
  </si>
  <si>
    <t>The total call duration is 89,850 minutes. Analyzing the efficiency of calls and finding ways to reduce call times without compromising service quality can improve productivity.</t>
  </si>
  <si>
    <r>
      <t>Average Ratings and Happy Callers</t>
    </r>
    <r>
      <rPr>
        <sz val="11"/>
        <color theme="1"/>
        <rFont val="Aptos"/>
        <family val="2"/>
        <scheme val="minor"/>
      </rPr>
      <t>:</t>
    </r>
  </si>
  <si>
    <t>The average rating is 3.9, with 307 happy callers. Enhancing customer service to increase ratings and the number of happy callers can lead to better customer retention and satisfaction.</t>
  </si>
  <si>
    <r>
      <t>Day of the Week Analysis</t>
    </r>
    <r>
      <rPr>
        <sz val="11"/>
        <color theme="1"/>
        <rFont val="Aptos"/>
        <family val="2"/>
        <scheme val="minor"/>
      </rPr>
      <t>:</t>
    </r>
  </si>
  <si>
    <t>Saturday has the highest call volume (161), while Thursday has the lowest (128). Adjusting staffing levels based on this data can ensure adequate coverage during peak times.</t>
  </si>
  <si>
    <r>
      <t>Gender Analysis</t>
    </r>
    <r>
      <rPr>
        <sz val="11"/>
        <color theme="1"/>
        <rFont val="Aptos"/>
        <family val="2"/>
        <scheme val="minor"/>
      </rPr>
      <t>:</t>
    </r>
  </si>
  <si>
    <t>Cleveland has a higher number of male callers (326) compared to female callers (63). Understanding the demographics and preferences of callers in different cities can help tailor marketing and service strategies.</t>
  </si>
  <si>
    <r>
      <t>Representative Performance</t>
    </r>
    <r>
      <rPr>
        <sz val="11"/>
        <color theme="1"/>
        <rFont val="Aptos"/>
        <family val="2"/>
        <scheme val="minor"/>
      </rPr>
      <t>:</t>
    </r>
  </si>
  <si>
    <t>The detailed performance metrics for representatives across different clients can be leveraged. Identifying top performers and understanding their techniques can help in training and improving the performance of other representatives.</t>
  </si>
  <si>
    <t>CALL CENTRE REPORT – 2023</t>
  </si>
  <si>
    <t>Tasks &amp; Instructions Followed</t>
  </si>
  <si>
    <t>Data Preparation using Power Query:</t>
  </si>
  <si>
    <r>
      <t xml:space="preserve">Cleaned and transformed both </t>
    </r>
    <r>
      <rPr>
        <b/>
        <sz val="11"/>
        <color theme="1"/>
        <rFont val="Aptos"/>
        <family val="2"/>
        <scheme val="minor"/>
      </rPr>
      <t>Calls Table</t>
    </r>
    <r>
      <rPr>
        <sz val="11"/>
        <color theme="1"/>
        <rFont val="Aptos"/>
        <family val="2"/>
        <scheme val="minor"/>
      </rPr>
      <t xml:space="preserve"> and </t>
    </r>
    <r>
      <rPr>
        <b/>
        <sz val="11"/>
        <color theme="1"/>
        <rFont val="Aptos"/>
        <family val="2"/>
        <scheme val="minor"/>
      </rPr>
      <t>Customers Table</t>
    </r>
  </si>
  <si>
    <t>Merged datasets to associate customer demographic info with call details</t>
  </si>
  <si>
    <t>Dashboard Tasks Completed:</t>
  </si>
  <si>
    <t>Built key performance indicators (KPIs): total calls, amount, duration, average rating, happy callers</t>
  </si>
  <si>
    <t>Plotted call trends across months</t>
  </si>
  <si>
    <t>Created visual breakdowns:</t>
  </si>
  <si>
    <t>Calls by representative</t>
  </si>
  <si>
    <t>Purchase amount by representative</t>
  </si>
  <si>
    <t>Gender and city-wise distribution</t>
  </si>
  <si>
    <t>Day-of-week call distribution</t>
  </si>
  <si>
    <t>Rating distribution chart</t>
  </si>
  <si>
    <t>Call and revenue matrix (customer-rep-wise)</t>
  </si>
  <si>
    <t>Client Instructions Followed:</t>
  </si>
  <si>
    <t>Represented insights visually and interactively</t>
  </si>
  <si>
    <t>Ensured the dashboard is self-explanatory and filter-friendly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</si>
</sst>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family val="2"/>
      <scheme val="minor"/>
    </font>
    <font>
      <b/>
      <sz val="18"/>
      <color theme="1"/>
      <name val="Aptos"/>
      <family val="2"/>
      <scheme val="minor"/>
    </font>
    <font>
      <b/>
      <sz val="13.5"/>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1" xfId="0" applyNumberFormat="1" applyBorder="1"/>
    <xf numFmtId="165" fontId="0" fillId="0" borderId="1" xfId="0" applyNumberFormat="1" applyBorder="1"/>
    <xf numFmtId="166" fontId="0" fillId="0" borderId="1" xfId="0" applyNumberFormat="1" applyBorder="1"/>
    <xf numFmtId="1" fontId="0" fillId="0" borderId="1" xfId="0" applyNumberFormat="1" applyBorder="1"/>
    <xf numFmtId="3" fontId="0" fillId="0" borderId="0" xfId="0" applyNumberFormat="1"/>
    <xf numFmtId="165" fontId="0" fillId="0" borderId="0" xfId="0" applyNumberFormat="1"/>
    <xf numFmtId="0" fontId="0" fillId="0" borderId="1" xfId="0" pivotButton="1" applyBorder="1"/>
    <xf numFmtId="0" fontId="0" fillId="0" borderId="0" xfId="0" pivotButton="1"/>
    <xf numFmtId="0" fontId="0" fillId="0" borderId="0" xfId="0" applyAlignment="1">
      <alignment horizontal="left"/>
    </xf>
    <xf numFmtId="0" fontId="0" fillId="0" borderId="1" xfId="0" applyBorder="1"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0" xfId="0" applyFill="1"/>
    <xf numFmtId="0" fontId="4" fillId="5" borderId="0" xfId="0" applyFont="1" applyFill="1"/>
    <xf numFmtId="0" fontId="4" fillId="5" borderId="0" xfId="0" applyFont="1" applyFill="1" applyAlignment="1">
      <alignment horizontal="left" indent="1"/>
    </xf>
    <xf numFmtId="168" fontId="4" fillId="5" borderId="0" xfId="0" applyNumberFormat="1" applyFont="1" applyFill="1"/>
    <xf numFmtId="0" fontId="1" fillId="5" borderId="0" xfId="0" applyFont="1" applyFill="1" applyAlignment="1">
      <alignment horizontal="left" vertical="center" indent="3"/>
    </xf>
    <xf numFmtId="0" fontId="5" fillId="5" borderId="0" xfId="0" applyFont="1" applyFill="1"/>
    <xf numFmtId="9" fontId="0" fillId="3" borderId="0" xfId="0" applyNumberFormat="1" applyFill="1" applyAlignment="1">
      <alignment horizontal="left" vertical="center"/>
    </xf>
    <xf numFmtId="0" fontId="0" fillId="0" borderId="0" xfId="0"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2"/>
    </xf>
    <xf numFmtId="0" fontId="0" fillId="3" borderId="0" xfId="0" applyFill="1" applyAlignment="1">
      <alignment horizontal="center" vertical="top"/>
    </xf>
  </cellXfs>
  <cellStyles count="1">
    <cellStyle name="Normal" xfId="0" builtinId="0"/>
  </cellStyles>
  <dxfs count="38">
    <dxf>
      <fill>
        <patternFill>
          <bgColor theme="8" tint="0.59996337778862885"/>
        </patternFill>
      </fill>
      <border>
        <left style="thin">
          <color auto="1"/>
        </left>
        <right style="thin">
          <color auto="1"/>
        </right>
        <top style="thin">
          <color auto="1"/>
        </top>
        <bottom style="thin">
          <color auto="1"/>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i val="0"/>
        <color theme="1"/>
      </font>
      <border diagonalUp="0" diagonalDown="0">
        <left/>
        <right/>
        <top/>
        <bottom/>
        <vertical/>
        <horizontal/>
      </border>
    </dxf>
    <dxf>
      <font>
        <color theme="1"/>
      </font>
      <border diagonalUp="0" diagonalDown="0">
        <left/>
        <right/>
        <top/>
        <bottom/>
        <vertical/>
        <horizontal/>
      </border>
    </dxf>
    <dxf>
      <font>
        <b/>
        <i val="0"/>
        <color theme="1"/>
      </font>
      <border>
        <left style="thin">
          <color theme="8"/>
        </left>
        <right style="thin">
          <color theme="8"/>
        </right>
        <top style="thin">
          <color theme="8"/>
        </top>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i val="0"/>
        <color theme="1"/>
      </font>
      <border>
        <left style="thin">
          <color theme="8"/>
        </left>
        <right style="thin">
          <color theme="8"/>
        </right>
        <top style="thin">
          <color theme="8"/>
        </top>
        <bottom style="thin">
          <color theme="8"/>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4" defaultTableStyle="TableStyleMedium2" defaultPivotStyle="PivotStyleLight16">
    <tableStyle name="Slicer Style 1" pivot="0" table="0" count="1" xr9:uid="{25BABDA2-DB3D-41F6-98D0-3EE7CBB0176F}">
      <tableStyleElement type="wholeTable" dxfId="37"/>
    </tableStyle>
    <tableStyle name="SlicerStyleDark5 2" pivot="0" table="0" count="10" xr9:uid="{5D80BF75-8061-4F30-A1FA-70027A92E4EB}">
      <tableStyleElement type="wholeTable" dxfId="36"/>
      <tableStyleElement type="headerRow" dxfId="35"/>
    </tableStyle>
    <tableStyle name="SlicerStyleDark5 2 2" pivot="0" table="0" count="10" xr9:uid="{3452A296-91A1-47C3-BD41-FF5E72AC4DEE}">
      <tableStyleElement type="wholeTable" dxfId="34"/>
      <tableStyleElement type="headerRow" dxfId="33"/>
    </tableStyle>
    <tableStyle name="SlicerStyleDark5 2 3" pivot="0" table="0" count="10" xr9:uid="{395F95DE-F10D-4626-9FEF-997E9ADC1D55}">
      <tableStyleElement type="wholeTable" dxfId="32"/>
      <tableStyleElement type="headerRow" dxfId="31"/>
    </tableStyle>
  </tableStyles>
  <colors>
    <mruColors>
      <color rgb="FFFF8021"/>
      <color rgb="FFC15300"/>
      <color rgb="FFF13D1F"/>
      <color rgb="FFD7391F"/>
      <color rgb="FFBFBFBF"/>
    </mruColors>
  </colors>
  <extLst>
    <ext xmlns:x14="http://schemas.microsoft.com/office/spreadsheetml/2009/9/main" uri="{46F421CA-312F-682f-3DD2-61675219B42D}">
      <x14:dxfs count="24">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0" tint="-0.24994659260841701"/>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0" tint="-0.2499465926084170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0"/>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0"/>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0" tint="-0.24994659260841701"/>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0" tint="-0.2499465926084170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microsoft.com/office/2017/06/relationships/rdRichValueTypes" Target="richData/rdRichValueTypes.xml"/><Relationship Id="rId39" Type="http://schemas.openxmlformats.org/officeDocument/2006/relationships/customXml" Target="../customXml/item10.xml"/><Relationship Id="rId21" Type="http://schemas.openxmlformats.org/officeDocument/2006/relationships/sharedStrings" Target="sharedStrings.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06/relationships/rdRichValue" Target="richData/rdrichvalue.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22/10/relationships/richValueRel" Target="richData/richValueRel.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microsoft.com/office/2017/06/relationships/rdRichValueStructure" Target="richData/rdrichvaluestructure.xml"/><Relationship Id="rId33" Type="http://schemas.openxmlformats.org/officeDocument/2006/relationships/customXml" Target="../customXml/item4.xml"/><Relationship Id="rId38"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Centre-excel-portfolio-project.xlsx]Data Analyst!Monthly Trend</c:name>
    <c:fmtId val="1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'Data Analyst'!$C$15</c:f>
              <c:strCache>
                <c:ptCount val="1"/>
                <c:pt idx="0">
                  <c:v>Call Count2</c:v>
                </c:pt>
              </c:strCache>
            </c:strRef>
          </c:tx>
          <c:spPr>
            <a:solidFill>
              <a:schemeClr val="accent2"/>
            </a:solidFill>
            <a:ln>
              <a:noFill/>
            </a:ln>
            <a:effectLst/>
          </c:spPr>
          <c:cat>
            <c:strRef>
              <c:f>'Data Analyst'!$A$16:$A$28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Analyst'!$C$16:$C$28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1-F193-4ADA-9389-5B7492902681}"/>
            </c:ext>
          </c:extLst>
        </c:ser>
        <c:dLbls>
          <c:showLegendKey val="0"/>
          <c:showVal val="0"/>
          <c:showCatName val="0"/>
          <c:showSerName val="0"/>
          <c:showPercent val="0"/>
          <c:showBubbleSize val="0"/>
        </c:dLbls>
        <c:axId val="933890911"/>
        <c:axId val="933891391"/>
      </c:areaChart>
      <c:lineChart>
        <c:grouping val="standard"/>
        <c:varyColors val="0"/>
        <c:ser>
          <c:idx val="0"/>
          <c:order val="0"/>
          <c:tx>
            <c:strRef>
              <c:f>'Data Analyst'!$B$15</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 Analyst'!$A$16:$A$28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Analyst'!$B$16:$B$28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F193-4ADA-9389-5B7492902681}"/>
            </c:ext>
          </c:extLst>
        </c:ser>
        <c:dLbls>
          <c:showLegendKey val="0"/>
          <c:showVal val="0"/>
          <c:showCatName val="0"/>
          <c:showSerName val="0"/>
          <c:showPercent val="0"/>
          <c:showBubbleSize val="0"/>
        </c:dLbls>
        <c:marker val="1"/>
        <c:smooth val="0"/>
        <c:axId val="933890911"/>
        <c:axId val="933891391"/>
      </c:lineChart>
      <c:catAx>
        <c:axId val="9338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1391"/>
        <c:crosses val="autoZero"/>
        <c:auto val="1"/>
        <c:lblAlgn val="ctr"/>
        <c:lblOffset val="100"/>
        <c:noMultiLvlLbl val="0"/>
      </c:catAx>
      <c:valAx>
        <c:axId val="933891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Centre-excel-portfolio-project.xlsx]Data Analyst!Weekly Trend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Analyst'!$B$32</c:f>
              <c:strCache>
                <c:ptCount val="1"/>
                <c:pt idx="0">
                  <c:v>Total</c:v>
                </c:pt>
              </c:strCache>
            </c:strRef>
          </c:tx>
          <c:spPr>
            <a:solidFill>
              <a:schemeClr val="accent1"/>
            </a:solidFill>
            <a:ln>
              <a:noFill/>
            </a:ln>
            <a:effectLst/>
          </c:spPr>
          <c:invertIfNegative val="0"/>
          <c:cat>
            <c:strRef>
              <c:f>'Data Analyst'!$A$33:$A$40</c:f>
              <c:strCache>
                <c:ptCount val="7"/>
                <c:pt idx="0">
                  <c:v>Sunday</c:v>
                </c:pt>
                <c:pt idx="1">
                  <c:v>Saturday</c:v>
                </c:pt>
                <c:pt idx="2">
                  <c:v>Friday</c:v>
                </c:pt>
                <c:pt idx="3">
                  <c:v>Thursday</c:v>
                </c:pt>
                <c:pt idx="4">
                  <c:v>Wednesday</c:v>
                </c:pt>
                <c:pt idx="5">
                  <c:v>Tuesday</c:v>
                </c:pt>
                <c:pt idx="6">
                  <c:v>Monday</c:v>
                </c:pt>
              </c:strCache>
            </c:strRef>
          </c:cat>
          <c:val>
            <c:numRef>
              <c:f>'Data Analyst'!$B$33:$B$40</c:f>
              <c:numCache>
                <c:formatCode>#,##0</c:formatCode>
                <c:ptCount val="7"/>
                <c:pt idx="0">
                  <c:v>146</c:v>
                </c:pt>
                <c:pt idx="1">
                  <c:v>161</c:v>
                </c:pt>
                <c:pt idx="2">
                  <c:v>141</c:v>
                </c:pt>
                <c:pt idx="3">
                  <c:v>128</c:v>
                </c:pt>
                <c:pt idx="4">
                  <c:v>153</c:v>
                </c:pt>
                <c:pt idx="5">
                  <c:v>138</c:v>
                </c:pt>
                <c:pt idx="6">
                  <c:v>133</c:v>
                </c:pt>
              </c:numCache>
            </c:numRef>
          </c:val>
          <c:extLst>
            <c:ext xmlns:c16="http://schemas.microsoft.com/office/drawing/2014/chart" uri="{C3380CC4-5D6E-409C-BE32-E72D297353CC}">
              <c16:uniqueId val="{00000000-2FBD-472F-B0BD-82BAFF879A01}"/>
            </c:ext>
          </c:extLst>
        </c:ser>
        <c:dLbls>
          <c:showLegendKey val="0"/>
          <c:showVal val="0"/>
          <c:showCatName val="0"/>
          <c:showSerName val="0"/>
          <c:showPercent val="0"/>
          <c:showBubbleSize val="0"/>
        </c:dLbls>
        <c:gapWidth val="182"/>
        <c:axId val="102072367"/>
        <c:axId val="9910751"/>
      </c:barChart>
      <c:catAx>
        <c:axId val="102072367"/>
        <c:scaling>
          <c:orientation val="maxMin"/>
        </c:scaling>
        <c:delete val="1"/>
        <c:axPos val="l"/>
        <c:numFmt formatCode="General" sourceLinked="1"/>
        <c:majorTickMark val="none"/>
        <c:minorTickMark val="none"/>
        <c:tickLblPos val="nextTo"/>
        <c:crossAx val="9910751"/>
        <c:crosses val="autoZero"/>
        <c:auto val="1"/>
        <c:lblAlgn val="ctr"/>
        <c:lblOffset val="100"/>
        <c:noMultiLvlLbl val="0"/>
      </c:catAx>
      <c:valAx>
        <c:axId val="9910751"/>
        <c:scaling>
          <c:orientation val="minMax"/>
        </c:scaling>
        <c:delete val="1"/>
        <c:axPos val="t"/>
        <c:numFmt formatCode="#,##0" sourceLinked="1"/>
        <c:majorTickMark val="none"/>
        <c:minorTickMark val="none"/>
        <c:tickLblPos val="nextTo"/>
        <c:crossAx val="10207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alpha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Analyst'!$F$46:$F$50</c:f>
              <c:strCache>
                <c:ptCount val="5"/>
                <c:pt idx="0">
                  <c:v>R01</c:v>
                </c:pt>
                <c:pt idx="1">
                  <c:v>R02</c:v>
                </c:pt>
                <c:pt idx="2">
                  <c:v>R03</c:v>
                </c:pt>
                <c:pt idx="3">
                  <c:v>R04</c:v>
                </c:pt>
                <c:pt idx="4">
                  <c:v>R05</c:v>
                </c:pt>
              </c:strCache>
            </c:strRef>
          </c:cat>
          <c:val>
            <c:numRef>
              <c:f>'Data Analyst'!$G$46:$G$50</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7B5-4575-AAA2-945B82E2B25C}"/>
            </c:ext>
          </c:extLst>
        </c:ser>
        <c:ser>
          <c:idx val="1"/>
          <c:order val="1"/>
          <c:tx>
            <c:strRef>
              <c:f>'Data Analyst'!$I$45</c:f>
              <c:strCache>
                <c:ptCount val="1"/>
                <c:pt idx="0">
                  <c:v>Sel.calls</c:v>
                </c:pt>
              </c:strCache>
            </c:strRef>
          </c:tx>
          <c:spPr>
            <a:gradFill flip="none" rotWithShape="1">
              <a:gsLst>
                <a:gs pos="0">
                  <a:schemeClr val="accent5">
                    <a:lumMod val="67000"/>
                  </a:schemeClr>
                </a:gs>
                <a:gs pos="16000">
                  <a:schemeClr val="accent5">
                    <a:lumMod val="97000"/>
                    <a:lumOff val="3000"/>
                  </a:schemeClr>
                </a:gs>
                <a:gs pos="93000">
                  <a:schemeClr val="accent5">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Analyst'!$I$46:$I$50</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B7B5-4575-AAA2-945B82E2B25C}"/>
            </c:ext>
          </c:extLst>
        </c:ser>
        <c:dLbls>
          <c:dLblPos val="outEnd"/>
          <c:showLegendKey val="0"/>
          <c:showVal val="1"/>
          <c:showCatName val="0"/>
          <c:showSerName val="0"/>
          <c:showPercent val="0"/>
          <c:showBubbleSize val="0"/>
        </c:dLbls>
        <c:gapWidth val="25"/>
        <c:overlap val="100"/>
        <c:axId val="944899871"/>
        <c:axId val="944901311"/>
      </c:barChart>
      <c:catAx>
        <c:axId val="94489987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901311"/>
        <c:crosses val="autoZero"/>
        <c:auto val="1"/>
        <c:lblAlgn val="ctr"/>
        <c:lblOffset val="100"/>
        <c:noMultiLvlLbl val="0"/>
      </c:catAx>
      <c:valAx>
        <c:axId val="944901311"/>
        <c:scaling>
          <c:orientation val="minMax"/>
          <c:min val="0"/>
        </c:scaling>
        <c:delete val="1"/>
        <c:axPos val="t"/>
        <c:numFmt formatCode="#,##0" sourceLinked="1"/>
        <c:majorTickMark val="none"/>
        <c:minorTickMark val="none"/>
        <c:tickLblPos val="nextTo"/>
        <c:crossAx val="94489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BFBF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Analyst'!$F$46:$F$50</c:f>
              <c:strCache>
                <c:ptCount val="5"/>
                <c:pt idx="0">
                  <c:v>R01</c:v>
                </c:pt>
                <c:pt idx="1">
                  <c:v>R02</c:v>
                </c:pt>
                <c:pt idx="2">
                  <c:v>R03</c:v>
                </c:pt>
                <c:pt idx="3">
                  <c:v>R04</c:v>
                </c:pt>
                <c:pt idx="4">
                  <c:v>R05</c:v>
                </c:pt>
              </c:strCache>
            </c:strRef>
          </c:cat>
          <c:val>
            <c:numRef>
              <c:f>'Data Analyst'!$H$46:$H$50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8BF-4BBB-9019-7787CE7E9B47}"/>
            </c:ext>
          </c:extLst>
        </c:ser>
        <c:ser>
          <c:idx val="1"/>
          <c:order val="1"/>
          <c:tx>
            <c:strRef>
              <c:f>'Data Analyst'!$J$45</c:f>
              <c:strCache>
                <c:ptCount val="1"/>
                <c:pt idx="0">
                  <c:v>Sel.Amt</c:v>
                </c:pt>
              </c:strCache>
            </c:strRef>
          </c:tx>
          <c:spPr>
            <a:gradFill>
              <a:gsLst>
                <a:gs pos="29376">
                  <a:srgbClr val="D7391F"/>
                </a:gs>
                <a:gs pos="0">
                  <a:schemeClr val="accent6">
                    <a:lumMod val="67000"/>
                  </a:schemeClr>
                </a:gs>
                <a:gs pos="70000">
                  <a:schemeClr val="accent6">
                    <a:lumMod val="97000"/>
                    <a:lumOff val="3000"/>
                  </a:schemeClr>
                </a:gs>
                <a:gs pos="100000">
                  <a:schemeClr val="accent6">
                    <a:lumMod val="60000"/>
                    <a:lumOff val="40000"/>
                  </a:schemeClr>
                </a:gs>
              </a:gsLst>
              <a:lin ang="16200000" scaled="1"/>
            </a:gradFill>
            <a:ln>
              <a:noFill/>
            </a:ln>
            <a:effectLst/>
          </c:spPr>
          <c:invertIfNegative val="0"/>
          <c:val>
            <c:numRef>
              <c:f>'Data Analyst'!$J$46:$J$50</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F8BF-4BBB-9019-7787CE7E9B47}"/>
            </c:ext>
          </c:extLst>
        </c:ser>
        <c:dLbls>
          <c:showLegendKey val="0"/>
          <c:showVal val="0"/>
          <c:showCatName val="0"/>
          <c:showSerName val="0"/>
          <c:showPercent val="0"/>
          <c:showBubbleSize val="0"/>
        </c:dLbls>
        <c:gapWidth val="45"/>
        <c:overlap val="100"/>
        <c:axId val="944899871"/>
        <c:axId val="944901311"/>
      </c:barChart>
      <c:catAx>
        <c:axId val="94489987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901311"/>
        <c:crosses val="autoZero"/>
        <c:auto val="1"/>
        <c:lblAlgn val="ctr"/>
        <c:lblOffset val="100"/>
        <c:noMultiLvlLbl val="0"/>
      </c:catAx>
      <c:valAx>
        <c:axId val="944901311"/>
        <c:scaling>
          <c:orientation val="minMax"/>
          <c:min val="0"/>
        </c:scaling>
        <c:delete val="1"/>
        <c:axPos val="t"/>
        <c:numFmt formatCode="#,###.0,&quot;K&quot;" sourceLinked="1"/>
        <c:majorTickMark val="none"/>
        <c:minorTickMark val="none"/>
        <c:tickLblPos val="nextTo"/>
        <c:crossAx val="94489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Centre-excel-portfolio-project.xlsx]Data Analyst!Weekly Trend</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Analyst'!$B$32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Analyst'!$A$33:$A$40</c:f>
              <c:strCache>
                <c:ptCount val="7"/>
                <c:pt idx="0">
                  <c:v>Sunday</c:v>
                </c:pt>
                <c:pt idx="1">
                  <c:v>Saturday</c:v>
                </c:pt>
                <c:pt idx="2">
                  <c:v>Friday</c:v>
                </c:pt>
                <c:pt idx="3">
                  <c:v>Thursday</c:v>
                </c:pt>
                <c:pt idx="4">
                  <c:v>Wednesday</c:v>
                </c:pt>
                <c:pt idx="5">
                  <c:v>Tuesday</c:v>
                </c:pt>
                <c:pt idx="6">
                  <c:v>Monday</c:v>
                </c:pt>
              </c:strCache>
            </c:strRef>
          </c:cat>
          <c:val>
            <c:numRef>
              <c:f>'Data Analyst'!$B$33:$B$40</c:f>
              <c:numCache>
                <c:formatCode>#,##0</c:formatCode>
                <c:ptCount val="7"/>
                <c:pt idx="0">
                  <c:v>146</c:v>
                </c:pt>
                <c:pt idx="1">
                  <c:v>161</c:v>
                </c:pt>
                <c:pt idx="2">
                  <c:v>141</c:v>
                </c:pt>
                <c:pt idx="3">
                  <c:v>128</c:v>
                </c:pt>
                <c:pt idx="4">
                  <c:v>153</c:v>
                </c:pt>
                <c:pt idx="5">
                  <c:v>138</c:v>
                </c:pt>
                <c:pt idx="6">
                  <c:v>133</c:v>
                </c:pt>
              </c:numCache>
            </c:numRef>
          </c:val>
          <c:extLst>
            <c:ext xmlns:c16="http://schemas.microsoft.com/office/drawing/2014/chart" uri="{C3380CC4-5D6E-409C-BE32-E72D297353CC}">
              <c16:uniqueId val="{00000000-D6A4-43A2-9E58-F72F64A52C9D}"/>
            </c:ext>
          </c:extLst>
        </c:ser>
        <c:dLbls>
          <c:dLblPos val="outEnd"/>
          <c:showLegendKey val="0"/>
          <c:showVal val="1"/>
          <c:showCatName val="0"/>
          <c:showSerName val="0"/>
          <c:showPercent val="0"/>
          <c:showBubbleSize val="0"/>
        </c:dLbls>
        <c:gapWidth val="25"/>
        <c:axId val="102072367"/>
        <c:axId val="9910751"/>
      </c:barChart>
      <c:catAx>
        <c:axId val="102072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751"/>
        <c:crosses val="autoZero"/>
        <c:auto val="1"/>
        <c:lblAlgn val="ctr"/>
        <c:lblOffset val="100"/>
        <c:noMultiLvlLbl val="0"/>
      </c:catAx>
      <c:valAx>
        <c:axId val="9910751"/>
        <c:scaling>
          <c:orientation val="minMax"/>
        </c:scaling>
        <c:delete val="1"/>
        <c:axPos val="b"/>
        <c:numFmt formatCode="#,##0" sourceLinked="1"/>
        <c:majorTickMark val="out"/>
        <c:minorTickMark val="none"/>
        <c:tickLblPos val="nextTo"/>
        <c:crossAx val="10207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Centre-excel-portfolio-project.xlsx]Data Analyst!Monthly Trend</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Trend</a:t>
            </a:r>
            <a:endParaRPr lang="en-IN"/>
          </a:p>
        </c:rich>
      </c:tx>
      <c:layout>
        <c:manualLayout>
          <c:xMode val="edge"/>
          <c:yMode val="edge"/>
          <c:x val="1.9496204278812993E-2"/>
          <c:y val="3.8167938931297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13D1F">
                  <a:alpha val="50000"/>
                </a:srgbClr>
              </a:gs>
              <a:gs pos="100000">
                <a:schemeClr val="accent6">
                  <a:lumMod val="97000"/>
                  <a:lumOff val="3000"/>
                </a:schemeClr>
              </a:gs>
            </a:gsLst>
            <a:lin ang="13500000" scaled="1"/>
            <a:tileRect/>
          </a:gradFill>
          <a:ln>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13D1F"/>
            </a:solidFill>
            <a:round/>
          </a:ln>
          <a:effectLst/>
        </c:spPr>
        <c:marker>
          <c:symbol val="circle"/>
          <c:size val="6"/>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13D1F"/>
            </a:solidFill>
            <a:round/>
          </a:ln>
          <a:effectLst/>
        </c:spPr>
        <c:marker>
          <c:symbol val="circle"/>
          <c:size val="6"/>
          <c:spPr>
            <a:solidFill>
              <a:schemeClr val="bg1"/>
            </a:solidFill>
            <a:ln w="9525">
              <a:solidFill>
                <a:schemeClr val="tx1"/>
              </a:solidFill>
            </a:ln>
            <a:effectLst/>
          </c:spPr>
        </c:marker>
      </c:pivotFmt>
    </c:pivotFmts>
    <c:plotArea>
      <c:layout/>
      <c:areaChart>
        <c:grouping val="standard"/>
        <c:varyColors val="0"/>
        <c:ser>
          <c:idx val="1"/>
          <c:order val="1"/>
          <c:tx>
            <c:strRef>
              <c:f>'Data Analyst'!$C$15</c:f>
              <c:strCache>
                <c:ptCount val="1"/>
                <c:pt idx="0">
                  <c:v>Call Count2</c:v>
                </c:pt>
              </c:strCache>
            </c:strRef>
          </c:tx>
          <c:spPr>
            <a:gradFill flip="none" rotWithShape="1">
              <a:gsLst>
                <a:gs pos="0">
                  <a:srgbClr val="F13D1F">
                    <a:alpha val="50000"/>
                  </a:srgbClr>
                </a:gs>
                <a:gs pos="100000">
                  <a:schemeClr val="accent6">
                    <a:lumMod val="97000"/>
                    <a:lumOff val="3000"/>
                  </a:schemeClr>
                </a:gs>
              </a:gsLst>
              <a:lin ang="13500000" scaled="1"/>
              <a:tileRect/>
            </a:gradFill>
            <a:ln>
              <a:solidFill>
                <a:schemeClr val="bg1">
                  <a:alpha val="50000"/>
                </a:schemeClr>
              </a:solidFill>
            </a:ln>
            <a:effectLst/>
          </c:spPr>
          <c:cat>
            <c:strRef>
              <c:f>'Data Analyst'!$A$16:$A$28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Analyst'!$C$16:$C$28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797F-4956-860F-10890A71B154}"/>
            </c:ext>
          </c:extLst>
        </c:ser>
        <c:dLbls>
          <c:showLegendKey val="0"/>
          <c:showVal val="0"/>
          <c:showCatName val="0"/>
          <c:showSerName val="0"/>
          <c:showPercent val="0"/>
          <c:showBubbleSize val="0"/>
        </c:dLbls>
        <c:axId val="933890911"/>
        <c:axId val="933891391"/>
      </c:areaChart>
      <c:lineChart>
        <c:grouping val="standard"/>
        <c:varyColors val="0"/>
        <c:ser>
          <c:idx val="0"/>
          <c:order val="0"/>
          <c:tx>
            <c:strRef>
              <c:f>'Data Analyst'!$B$15</c:f>
              <c:strCache>
                <c:ptCount val="1"/>
                <c:pt idx="0">
                  <c:v>Call Count</c:v>
                </c:pt>
              </c:strCache>
            </c:strRef>
          </c:tx>
          <c:spPr>
            <a:ln w="28575" cap="rnd">
              <a:solidFill>
                <a:srgbClr val="F13D1F"/>
              </a:solidFill>
              <a:round/>
            </a:ln>
            <a:effectLst/>
          </c:spPr>
          <c:marker>
            <c:symbol val="circle"/>
            <c:size val="6"/>
            <c:spPr>
              <a:solidFill>
                <a:schemeClr val="bg1"/>
              </a:solidFill>
              <a:ln w="9525">
                <a:solidFill>
                  <a:schemeClr val="tx1"/>
                </a:solidFill>
              </a:ln>
              <a:effectLst/>
            </c:spPr>
          </c:marker>
          <c:cat>
            <c:strRef>
              <c:f>'Data Analyst'!$A$16:$A$28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Analyst'!$B$16:$B$28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797F-4956-860F-10890A71B154}"/>
            </c:ext>
          </c:extLst>
        </c:ser>
        <c:dLbls>
          <c:showLegendKey val="0"/>
          <c:showVal val="0"/>
          <c:showCatName val="0"/>
          <c:showSerName val="0"/>
          <c:showPercent val="0"/>
          <c:showBubbleSize val="0"/>
        </c:dLbls>
        <c:marker val="1"/>
        <c:smooth val="0"/>
        <c:axId val="933890911"/>
        <c:axId val="933891391"/>
      </c:lineChart>
      <c:catAx>
        <c:axId val="9338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1391"/>
        <c:crosses val="autoZero"/>
        <c:auto val="1"/>
        <c:lblAlgn val="ctr"/>
        <c:lblOffset val="100"/>
        <c:noMultiLvlLbl val="0"/>
      </c:catAx>
      <c:valAx>
        <c:axId val="933891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15300"/>
                </a:solidFill>
              </a:rPr>
              <a:t>Call</a:t>
            </a:r>
          </a:p>
        </c:rich>
      </c:tx>
      <c:layout>
        <c:manualLayout>
          <c:xMode val="edge"/>
          <c:yMode val="edge"/>
          <c:x val="2.2515527950310567E-2"/>
          <c:y val="2.7100271002710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alpha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Analyst'!$F$46:$F$50</c:f>
              <c:strCache>
                <c:ptCount val="5"/>
                <c:pt idx="0">
                  <c:v>R01</c:v>
                </c:pt>
                <c:pt idx="1">
                  <c:v>R02</c:v>
                </c:pt>
                <c:pt idx="2">
                  <c:v>R03</c:v>
                </c:pt>
                <c:pt idx="3">
                  <c:v>R04</c:v>
                </c:pt>
                <c:pt idx="4">
                  <c:v>R05</c:v>
                </c:pt>
              </c:strCache>
            </c:strRef>
          </c:cat>
          <c:val>
            <c:numRef>
              <c:f>'Data Analyst'!$G$46:$G$50</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826-4E42-B019-86850722D35E}"/>
            </c:ext>
          </c:extLst>
        </c:ser>
        <c:ser>
          <c:idx val="1"/>
          <c:order val="1"/>
          <c:tx>
            <c:strRef>
              <c:f>'Data Analyst'!$I$45</c:f>
              <c:strCache>
                <c:ptCount val="1"/>
                <c:pt idx="0">
                  <c:v>Sel.calls</c:v>
                </c:pt>
              </c:strCache>
            </c:strRef>
          </c:tx>
          <c:spPr>
            <a:gradFill flip="none" rotWithShape="1">
              <a:gsLst>
                <a:gs pos="0">
                  <a:schemeClr val="accent5">
                    <a:lumMod val="67000"/>
                  </a:schemeClr>
                </a:gs>
                <a:gs pos="16000">
                  <a:schemeClr val="accent5">
                    <a:lumMod val="97000"/>
                    <a:lumOff val="3000"/>
                  </a:schemeClr>
                </a:gs>
                <a:gs pos="93000">
                  <a:schemeClr val="accent5">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Analyst'!$I$46:$I$50</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1826-4E42-B019-86850722D35E}"/>
            </c:ext>
          </c:extLst>
        </c:ser>
        <c:dLbls>
          <c:dLblPos val="outEnd"/>
          <c:showLegendKey val="0"/>
          <c:showVal val="1"/>
          <c:showCatName val="0"/>
          <c:showSerName val="0"/>
          <c:showPercent val="0"/>
          <c:showBubbleSize val="0"/>
        </c:dLbls>
        <c:gapWidth val="25"/>
        <c:overlap val="100"/>
        <c:axId val="944899871"/>
        <c:axId val="944901311"/>
      </c:barChart>
      <c:catAx>
        <c:axId val="94489987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901311"/>
        <c:crosses val="autoZero"/>
        <c:auto val="1"/>
        <c:lblAlgn val="ctr"/>
        <c:lblOffset val="100"/>
        <c:noMultiLvlLbl val="0"/>
      </c:catAx>
      <c:valAx>
        <c:axId val="944901311"/>
        <c:scaling>
          <c:orientation val="minMax"/>
          <c:min val="0"/>
        </c:scaling>
        <c:delete val="1"/>
        <c:axPos val="t"/>
        <c:numFmt formatCode="#,##0" sourceLinked="1"/>
        <c:majorTickMark val="none"/>
        <c:minorTickMark val="none"/>
        <c:tickLblPos val="nextTo"/>
        <c:crossAx val="94489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rgbClr val="D7391F"/>
                </a:solidFill>
              </a:rPr>
              <a:t>Amount</a:t>
            </a:r>
          </a:p>
        </c:rich>
      </c:tx>
      <c:layout>
        <c:manualLayout>
          <c:xMode val="edge"/>
          <c:yMode val="edge"/>
          <c:x val="2.6654411764705892E-2"/>
          <c:y val="2.74725274725274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BFBF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Analyst'!$F$46:$F$50</c:f>
              <c:strCache>
                <c:ptCount val="5"/>
                <c:pt idx="0">
                  <c:v>R01</c:v>
                </c:pt>
                <c:pt idx="1">
                  <c:v>R02</c:v>
                </c:pt>
                <c:pt idx="2">
                  <c:v>R03</c:v>
                </c:pt>
                <c:pt idx="3">
                  <c:v>R04</c:v>
                </c:pt>
                <c:pt idx="4">
                  <c:v>R05</c:v>
                </c:pt>
              </c:strCache>
            </c:strRef>
          </c:cat>
          <c:val>
            <c:numRef>
              <c:f>'Data Analyst'!$H$46:$H$50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398-4A36-AE7D-11CE84351659}"/>
            </c:ext>
          </c:extLst>
        </c:ser>
        <c:ser>
          <c:idx val="1"/>
          <c:order val="1"/>
          <c:tx>
            <c:strRef>
              <c:f>'Data Analyst'!$J$45</c:f>
              <c:strCache>
                <c:ptCount val="1"/>
                <c:pt idx="0">
                  <c:v>Sel.Amt</c:v>
                </c:pt>
              </c:strCache>
            </c:strRef>
          </c:tx>
          <c:spPr>
            <a:gradFill>
              <a:gsLst>
                <a:gs pos="29376">
                  <a:srgbClr val="D7391F"/>
                </a:gs>
                <a:gs pos="0">
                  <a:schemeClr val="accent6">
                    <a:lumMod val="67000"/>
                  </a:schemeClr>
                </a:gs>
                <a:gs pos="70000">
                  <a:schemeClr val="accent6">
                    <a:lumMod val="97000"/>
                    <a:lumOff val="3000"/>
                  </a:schemeClr>
                </a:gs>
                <a:gs pos="100000">
                  <a:schemeClr val="accent6">
                    <a:lumMod val="60000"/>
                    <a:lumOff val="40000"/>
                  </a:schemeClr>
                </a:gs>
              </a:gsLst>
              <a:lin ang="16200000" scaled="1"/>
            </a:gradFill>
            <a:ln>
              <a:noFill/>
            </a:ln>
            <a:effectLst/>
          </c:spPr>
          <c:invertIfNegative val="0"/>
          <c:val>
            <c:numRef>
              <c:f>'Data Analyst'!$J$46:$J$50</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2398-4A36-AE7D-11CE84351659}"/>
            </c:ext>
          </c:extLst>
        </c:ser>
        <c:dLbls>
          <c:showLegendKey val="0"/>
          <c:showVal val="0"/>
          <c:showCatName val="0"/>
          <c:showSerName val="0"/>
          <c:showPercent val="0"/>
          <c:showBubbleSize val="0"/>
        </c:dLbls>
        <c:gapWidth val="45"/>
        <c:overlap val="100"/>
        <c:axId val="944899871"/>
        <c:axId val="944901311"/>
      </c:barChart>
      <c:catAx>
        <c:axId val="94489987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901311"/>
        <c:crosses val="autoZero"/>
        <c:auto val="1"/>
        <c:lblAlgn val="ctr"/>
        <c:lblOffset val="100"/>
        <c:noMultiLvlLbl val="0"/>
      </c:catAx>
      <c:valAx>
        <c:axId val="944901311"/>
        <c:scaling>
          <c:orientation val="minMax"/>
          <c:min val="0"/>
        </c:scaling>
        <c:delete val="1"/>
        <c:axPos val="t"/>
        <c:numFmt formatCode="#,###.0,&quot;K&quot;" sourceLinked="1"/>
        <c:majorTickMark val="none"/>
        <c:minorTickMark val="none"/>
        <c:tickLblPos val="nextTo"/>
        <c:crossAx val="94489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Centre-excel-portfolio-project.xlsx]Data Analyst!Male Vs Female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accent5"/>
                </a:solidFill>
              </a:rPr>
              <a:t>Femal</a:t>
            </a:r>
            <a:r>
              <a:rPr lang="en-IN" sz="1100" b="1" baseline="0">
                <a:solidFill>
                  <a:schemeClr val="accent5"/>
                </a:solidFill>
              </a:rPr>
              <a:t>e</a:t>
            </a:r>
            <a:r>
              <a:rPr lang="en-IN" sz="1100" b="1" baseline="0"/>
              <a:t> vs. </a:t>
            </a:r>
            <a:r>
              <a:rPr lang="en-IN" sz="1100" b="1" baseline="0">
                <a:solidFill>
                  <a:schemeClr val="accent4">
                    <a:lumMod val="75000"/>
                  </a:schemeClr>
                </a:solidFill>
              </a:rPr>
              <a:t>Male</a:t>
            </a:r>
            <a:r>
              <a:rPr lang="en-IN" sz="1100" b="1" baseline="0"/>
              <a:t> Callers</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8021"/>
          </a:solidFill>
          <a:ln>
            <a:noFill/>
          </a:ln>
          <a:effectLst/>
        </c:spPr>
        <c:marker>
          <c:symbol val="none"/>
        </c:marker>
        <c:dLbl>
          <c:idx val="0"/>
          <c:spPr>
            <a:solidFill>
              <a:schemeClr val="bg1">
                <a:alpha val="50000"/>
              </a:schemeClr>
            </a:solidFill>
            <a:ln>
              <a:solidFill>
                <a:schemeClr val="bg1">
                  <a:lumMod val="8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marker>
          <c:symbol val="none"/>
        </c:marker>
        <c:dLbl>
          <c:idx val="0"/>
          <c:spPr>
            <a:noFill/>
            <a:ln>
              <a:solidFill>
                <a:schemeClr val="bg1">
                  <a:lumMod val="7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 Analyst'!$B$67:$B$68</c:f>
              <c:strCache>
                <c:ptCount val="1"/>
                <c:pt idx="0">
                  <c:v>Female</c:v>
                </c:pt>
              </c:strCache>
            </c:strRef>
          </c:tx>
          <c:spPr>
            <a:solidFill>
              <a:srgbClr val="FF8021"/>
            </a:solidFill>
            <a:ln>
              <a:noFill/>
            </a:ln>
            <a:effectLst/>
          </c:spPr>
          <c:invertIfNegative val="0"/>
          <c:dLbls>
            <c:spPr>
              <a:solidFill>
                <a:schemeClr val="bg1">
                  <a:alpha val="50000"/>
                </a:schemeClr>
              </a:solidFill>
              <a:ln>
                <a:solidFill>
                  <a:schemeClr val="bg1">
                    <a:lumMod val="8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Analyst'!$A$69:$A$72</c:f>
              <c:strCache>
                <c:ptCount val="3"/>
                <c:pt idx="0">
                  <c:v>Cincinnati</c:v>
                </c:pt>
                <c:pt idx="1">
                  <c:v>Cleveland</c:v>
                </c:pt>
                <c:pt idx="2">
                  <c:v>Columbus</c:v>
                </c:pt>
              </c:strCache>
            </c:strRef>
          </c:cat>
          <c:val>
            <c:numRef>
              <c:f>'Data Analyst'!$B$69:$B$72</c:f>
              <c:numCache>
                <c:formatCode>#,##0</c:formatCode>
                <c:ptCount val="3"/>
                <c:pt idx="0">
                  <c:v>144</c:v>
                </c:pt>
                <c:pt idx="1">
                  <c:v>326</c:v>
                </c:pt>
                <c:pt idx="2">
                  <c:v>129</c:v>
                </c:pt>
              </c:numCache>
            </c:numRef>
          </c:val>
          <c:extLst>
            <c:ext xmlns:c16="http://schemas.microsoft.com/office/drawing/2014/chart" uri="{C3380CC4-5D6E-409C-BE32-E72D297353CC}">
              <c16:uniqueId val="{00000000-70B3-4643-999D-CF6379F4D569}"/>
            </c:ext>
          </c:extLst>
        </c:ser>
        <c:ser>
          <c:idx val="1"/>
          <c:order val="1"/>
          <c:tx>
            <c:strRef>
              <c:f>'Data Analyst'!$C$67:$C$68</c:f>
              <c:strCache>
                <c:ptCount val="1"/>
                <c:pt idx="0">
                  <c:v>Male</c:v>
                </c:pt>
              </c:strCache>
            </c:strRef>
          </c:tx>
          <c:spPr>
            <a:solidFill>
              <a:schemeClr val="accent4">
                <a:lumMod val="40000"/>
                <a:lumOff val="60000"/>
              </a:schemeClr>
            </a:solidFill>
            <a:ln>
              <a:noFill/>
            </a:ln>
            <a:effectLst/>
          </c:spPr>
          <c:invertIfNegative val="0"/>
          <c:dLbls>
            <c:spPr>
              <a:noFill/>
              <a:ln>
                <a:solidFill>
                  <a:schemeClr val="bg1">
                    <a:lumMod val="7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Analyst'!$A$69:$A$72</c:f>
              <c:strCache>
                <c:ptCount val="3"/>
                <c:pt idx="0">
                  <c:v>Cincinnati</c:v>
                </c:pt>
                <c:pt idx="1">
                  <c:v>Cleveland</c:v>
                </c:pt>
                <c:pt idx="2">
                  <c:v>Columbus</c:v>
                </c:pt>
              </c:strCache>
            </c:strRef>
          </c:cat>
          <c:val>
            <c:numRef>
              <c:f>'Data Analyst'!$C$69:$C$72</c:f>
              <c:numCache>
                <c:formatCode>#,##0</c:formatCode>
                <c:ptCount val="3"/>
                <c:pt idx="0">
                  <c:v>132</c:v>
                </c:pt>
                <c:pt idx="1">
                  <c:v>63</c:v>
                </c:pt>
                <c:pt idx="2">
                  <c:v>206</c:v>
                </c:pt>
              </c:numCache>
            </c:numRef>
          </c:val>
          <c:extLst>
            <c:ext xmlns:c16="http://schemas.microsoft.com/office/drawing/2014/chart" uri="{C3380CC4-5D6E-409C-BE32-E72D297353CC}">
              <c16:uniqueId val="{00000001-70B3-4643-999D-CF6379F4D569}"/>
            </c:ext>
          </c:extLst>
        </c:ser>
        <c:dLbls>
          <c:showLegendKey val="0"/>
          <c:showVal val="0"/>
          <c:showCatName val="0"/>
          <c:showSerName val="0"/>
          <c:showPercent val="0"/>
          <c:showBubbleSize val="0"/>
        </c:dLbls>
        <c:gapWidth val="40"/>
        <c:overlap val="100"/>
        <c:axId val="1099585791"/>
        <c:axId val="1099582911"/>
      </c:barChart>
      <c:catAx>
        <c:axId val="10995857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9582911"/>
        <c:crosses val="autoZero"/>
        <c:auto val="1"/>
        <c:lblAlgn val="ctr"/>
        <c:lblOffset val="100"/>
        <c:noMultiLvlLbl val="0"/>
      </c:catAx>
      <c:valAx>
        <c:axId val="1099582911"/>
        <c:scaling>
          <c:orientation val="minMax"/>
        </c:scaling>
        <c:delete val="1"/>
        <c:axPos val="l"/>
        <c:numFmt formatCode="0%" sourceLinked="1"/>
        <c:majorTickMark val="none"/>
        <c:minorTickMark val="none"/>
        <c:tickLblPos val="nextTo"/>
        <c:crossAx val="109958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Centre-excel-portfolio-project.xlsx]Data Analyst!Rep Satisfactions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Analyst'!$B$76</c:f>
              <c:strCache>
                <c:ptCount val="1"/>
                <c:pt idx="0">
                  <c:v>Total</c:v>
                </c:pt>
              </c:strCache>
            </c:strRef>
          </c:tx>
          <c:spPr>
            <a:solidFill>
              <a:schemeClr val="accent1"/>
            </a:solidFill>
            <a:ln>
              <a:noFill/>
            </a:ln>
            <a:effectLst/>
          </c:spPr>
          <c:invertIfNegative val="0"/>
          <c:cat>
            <c:strRef>
              <c:f>'Data Analyst'!$A$77:$A$83</c:f>
              <c:strCache>
                <c:ptCount val="6"/>
                <c:pt idx="0">
                  <c:v>0</c:v>
                </c:pt>
                <c:pt idx="1">
                  <c:v>1</c:v>
                </c:pt>
                <c:pt idx="2">
                  <c:v>2</c:v>
                </c:pt>
                <c:pt idx="3">
                  <c:v>3</c:v>
                </c:pt>
                <c:pt idx="4">
                  <c:v>4</c:v>
                </c:pt>
                <c:pt idx="5">
                  <c:v>5</c:v>
                </c:pt>
              </c:strCache>
            </c:strRef>
          </c:cat>
          <c:val>
            <c:numRef>
              <c:f>'Data Analyst'!$B$77:$B$83</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C60F-4898-8899-826C4A79ADCE}"/>
            </c:ext>
          </c:extLst>
        </c:ser>
        <c:dLbls>
          <c:showLegendKey val="0"/>
          <c:showVal val="0"/>
          <c:showCatName val="0"/>
          <c:showSerName val="0"/>
          <c:showPercent val="0"/>
          <c:showBubbleSize val="0"/>
        </c:dLbls>
        <c:gapWidth val="50"/>
        <c:overlap val="-27"/>
        <c:axId val="1052739343"/>
        <c:axId val="1052742703"/>
      </c:barChart>
      <c:catAx>
        <c:axId val="105273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742703"/>
        <c:crosses val="autoZero"/>
        <c:auto val="1"/>
        <c:lblAlgn val="ctr"/>
        <c:lblOffset val="100"/>
        <c:noMultiLvlLbl val="0"/>
      </c:catAx>
      <c:valAx>
        <c:axId val="1052742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73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7.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6.xml"/><Relationship Id="rId2" Type="http://schemas.openxmlformats.org/officeDocument/2006/relationships/image" Target="../media/image7.svg"/><Relationship Id="rId16" Type="http://schemas.openxmlformats.org/officeDocument/2006/relationships/chart" Target="../charts/chart10.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5.svg"/><Relationship Id="rId5" Type="http://schemas.openxmlformats.org/officeDocument/2006/relationships/image" Target="../media/image10.png"/><Relationship Id="rId15" Type="http://schemas.openxmlformats.org/officeDocument/2006/relationships/chart" Target="../charts/chart9.xml"/><Relationship Id="rId10" Type="http://schemas.openxmlformats.org/officeDocument/2006/relationships/image" Target="../media/image14.png"/><Relationship Id="rId4" Type="http://schemas.openxmlformats.org/officeDocument/2006/relationships/image" Target="../media/image9.svg"/><Relationship Id="rId9" Type="http://schemas.openxmlformats.org/officeDocument/2006/relationships/chart" Target="../charts/chart5.xml"/><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6</xdr:col>
      <xdr:colOff>121920</xdr:colOff>
      <xdr:row>0</xdr:row>
      <xdr:rowOff>152401</xdr:rowOff>
    </xdr:from>
    <xdr:to>
      <xdr:col>8</xdr:col>
      <xdr:colOff>693422</xdr:colOff>
      <xdr:row>9</xdr:row>
      <xdr:rowOff>38101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78ACA52B-B30F-991E-E4B8-6D9DADBD5EB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335780" y="152401"/>
              <a:ext cx="203454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445770</xdr:colOff>
      <xdr:row>13</xdr:row>
      <xdr:rowOff>121920</xdr:rowOff>
    </xdr:from>
    <xdr:to>
      <xdr:col>10</xdr:col>
      <xdr:colOff>487680</xdr:colOff>
      <xdr:row>27</xdr:row>
      <xdr:rowOff>144780</xdr:rowOff>
    </xdr:to>
    <xdr:graphicFrame macro="">
      <xdr:nvGraphicFramePr>
        <xdr:cNvPr id="4" name="Chart 3">
          <a:extLst>
            <a:ext uri="{FF2B5EF4-FFF2-40B4-BE49-F238E27FC236}">
              <a16:creationId xmlns:a16="http://schemas.microsoft.com/office/drawing/2014/main" id="{AF7984C5-6DBA-51E9-7FCF-44567D84A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666750</xdr:colOff>
      <xdr:row>30</xdr:row>
      <xdr:rowOff>144780</xdr:rowOff>
    </xdr:from>
    <xdr:to>
      <xdr:col>7</xdr:col>
      <xdr:colOff>220980</xdr:colOff>
      <xdr:row>40</xdr:row>
      <xdr:rowOff>144780</xdr:rowOff>
    </xdr:to>
    <xdr:graphicFrame macro="">
      <xdr:nvGraphicFramePr>
        <xdr:cNvPr id="5" name="Chart 4">
          <a:extLst>
            <a:ext uri="{FF2B5EF4-FFF2-40B4-BE49-F238E27FC236}">
              <a16:creationId xmlns:a16="http://schemas.microsoft.com/office/drawing/2014/main" id="{0E2F6BAC-5C61-168B-4231-7241D6483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41910</xdr:colOff>
      <xdr:row>41</xdr:row>
      <xdr:rowOff>133350</xdr:rowOff>
    </xdr:from>
    <xdr:to>
      <xdr:col>15</xdr:col>
      <xdr:colOff>352230</xdr:colOff>
      <xdr:row>53</xdr:row>
      <xdr:rowOff>22860</xdr:rowOff>
    </xdr:to>
    <xdr:graphicFrame macro="">
      <xdr:nvGraphicFramePr>
        <xdr:cNvPr id="6" name="Chart 5">
          <a:extLst>
            <a:ext uri="{FF2B5EF4-FFF2-40B4-BE49-F238E27FC236}">
              <a16:creationId xmlns:a16="http://schemas.microsoft.com/office/drawing/2014/main" id="{5876B631-D415-CFBB-10CC-222B483A0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601980</xdr:colOff>
      <xdr:row>41</xdr:row>
      <xdr:rowOff>160020</xdr:rowOff>
    </xdr:from>
    <xdr:to>
      <xdr:col>19</xdr:col>
      <xdr:colOff>241740</xdr:colOff>
      <xdr:row>52</xdr:row>
      <xdr:rowOff>146340</xdr:rowOff>
    </xdr:to>
    <xdr:graphicFrame macro="">
      <xdr:nvGraphicFramePr>
        <xdr:cNvPr id="7" name="Chart 6">
          <a:extLst>
            <a:ext uri="{FF2B5EF4-FFF2-40B4-BE49-F238E27FC236}">
              <a16:creationId xmlns:a16="http://schemas.microsoft.com/office/drawing/2014/main" id="{F1758115-FBE4-4355-A71F-F6857803B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605790</xdr:colOff>
      <xdr:row>14</xdr:row>
      <xdr:rowOff>30480</xdr:rowOff>
    </xdr:from>
    <xdr:to>
      <xdr:col>10</xdr:col>
      <xdr:colOff>407670</xdr:colOff>
      <xdr:row>24</xdr:row>
      <xdr:rowOff>7620</xdr:rowOff>
    </xdr:to>
    <mc:AlternateContent xmlns:mc="http://schemas.openxmlformats.org/markup-compatibility/2006" xmlns:a14="http://schemas.microsoft.com/office/drawing/2010/main">
      <mc:Choice Requires="a14">
        <xdr:graphicFrame macro="">
          <xdr:nvGraphicFramePr>
            <xdr:cNvPr id="34" name="Representative 1">
              <a:extLst>
                <a:ext uri="{FF2B5EF4-FFF2-40B4-BE49-F238E27FC236}">
                  <a16:creationId xmlns:a16="http://schemas.microsoft.com/office/drawing/2014/main" id="{5D06200C-26C0-4ED2-9F25-197DB1A5FE3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5939790" y="2383155"/>
              <a:ext cx="1135380" cy="1786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289560</xdr:colOff>
      <xdr:row>3</xdr:row>
      <xdr:rowOff>7620</xdr:rowOff>
    </xdr:from>
    <xdr:to>
      <xdr:col>2</xdr:col>
      <xdr:colOff>208440</xdr:colOff>
      <xdr:row>7</xdr:row>
      <xdr:rowOff>140100</xdr:rowOff>
    </xdr:to>
    <xdr:sp macro="" textlink="">
      <xdr:nvSpPr>
        <xdr:cNvPr id="2" name="Rectangle 1">
          <a:extLst>
            <a:ext uri="{FF2B5EF4-FFF2-40B4-BE49-F238E27FC236}">
              <a16:creationId xmlns:a16="http://schemas.microsoft.com/office/drawing/2014/main" id="{740E025D-5D0E-A83F-AFAD-6F09F09894D1}"/>
            </a:ext>
          </a:extLst>
        </xdr:cNvPr>
        <xdr:cNvSpPr/>
      </xdr:nvSpPr>
      <xdr:spPr>
        <a:xfrm>
          <a:off x="289560" y="369570"/>
          <a:ext cx="1252380" cy="856380"/>
        </a:xfrm>
        <a:prstGeom prst="rect">
          <a:avLst/>
        </a:prstGeom>
        <a:solidFill>
          <a:schemeClr val="accent6"/>
        </a:solidFill>
        <a:ln>
          <a:noFill/>
        </a:ln>
        <a:effectLst>
          <a:outerShdw blurRad="254000" dist="508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7620</xdr:colOff>
      <xdr:row>3</xdr:row>
      <xdr:rowOff>30480</xdr:rowOff>
    </xdr:from>
    <xdr:to>
      <xdr:col>1</xdr:col>
      <xdr:colOff>525780</xdr:colOff>
      <xdr:row>4</xdr:row>
      <xdr:rowOff>144780</xdr:rowOff>
    </xdr:to>
    <xdr:sp macro="" textlink="">
      <xdr:nvSpPr>
        <xdr:cNvPr id="3" name="TextBox 2">
          <a:extLst>
            <a:ext uri="{FF2B5EF4-FFF2-40B4-BE49-F238E27FC236}">
              <a16:creationId xmlns:a16="http://schemas.microsoft.com/office/drawing/2014/main" id="{88F38279-7015-6EA9-CF90-4BACF6919EC7}"/>
            </a:ext>
          </a:extLst>
        </xdr:cNvPr>
        <xdr:cNvSpPr txBox="1"/>
      </xdr:nvSpPr>
      <xdr:spPr>
        <a:xfrm>
          <a:off x="678180" y="396240"/>
          <a:ext cx="5181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latin typeface="Calibri" panose="020F0502020204030204" pitchFamily="34" charset="0"/>
              <a:ea typeface="Calibri" panose="020F0502020204030204" pitchFamily="34" charset="0"/>
              <a:cs typeface="Calibri" panose="020F0502020204030204" pitchFamily="34" charset="0"/>
            </a:rPr>
            <a:t>Calls</a:t>
          </a:r>
        </a:p>
      </xdr:txBody>
    </xdr:sp>
    <xdr:clientData/>
  </xdr:twoCellAnchor>
  <xdr:twoCellAnchor editAs="oneCell">
    <xdr:from>
      <xdr:col>0</xdr:col>
      <xdr:colOff>327661</xdr:colOff>
      <xdr:row>3</xdr:row>
      <xdr:rowOff>38101</xdr:rowOff>
    </xdr:from>
    <xdr:to>
      <xdr:col>0</xdr:col>
      <xdr:colOff>608801</xdr:colOff>
      <xdr:row>4</xdr:row>
      <xdr:rowOff>129540</xdr:rowOff>
    </xdr:to>
    <xdr:pic>
      <xdr:nvPicPr>
        <xdr:cNvPr id="4" name="Graphic 3" descr="Receiver with solid fill">
          <a:extLst>
            <a:ext uri="{FF2B5EF4-FFF2-40B4-BE49-F238E27FC236}">
              <a16:creationId xmlns:a16="http://schemas.microsoft.com/office/drawing/2014/main" id="{9B9A9758-41B3-4C66-9EA2-7348992574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7661" y="403861"/>
          <a:ext cx="281140" cy="274319"/>
        </a:xfrm>
        <a:prstGeom prst="rect">
          <a:avLst/>
        </a:prstGeom>
      </xdr:spPr>
    </xdr:pic>
    <xdr:clientData/>
  </xdr:twoCellAnchor>
  <xdr:twoCellAnchor>
    <xdr:from>
      <xdr:col>0</xdr:col>
      <xdr:colOff>541020</xdr:colOff>
      <xdr:row>4</xdr:row>
      <xdr:rowOff>53340</xdr:rowOff>
    </xdr:from>
    <xdr:to>
      <xdr:col>2</xdr:col>
      <xdr:colOff>68580</xdr:colOff>
      <xdr:row>6</xdr:row>
      <xdr:rowOff>22860</xdr:rowOff>
    </xdr:to>
    <xdr:sp macro="" textlink="'Data Analyst'!A4">
      <xdr:nvSpPr>
        <xdr:cNvPr id="5" name="TextBox 4">
          <a:extLst>
            <a:ext uri="{FF2B5EF4-FFF2-40B4-BE49-F238E27FC236}">
              <a16:creationId xmlns:a16="http://schemas.microsoft.com/office/drawing/2014/main" id="{DD10FA10-CBC4-6673-D1BF-952E1408BD64}"/>
            </a:ext>
          </a:extLst>
        </xdr:cNvPr>
        <xdr:cNvSpPr txBox="1"/>
      </xdr:nvSpPr>
      <xdr:spPr>
        <a:xfrm>
          <a:off x="541020" y="601980"/>
          <a:ext cx="8686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E6D4EC-B814-4873-86AD-10CE0B258F66}" type="TxLink">
            <a:rPr lang="en-US" sz="1800" b="1" i="0" u="none" strike="noStrike">
              <a:solidFill>
                <a:schemeClr val="bg1"/>
              </a:solidFill>
              <a:latin typeface="Aptos"/>
              <a:ea typeface="Calibri" panose="020F0502020204030204" pitchFamily="34" charset="0"/>
              <a:cs typeface="Calibri" panose="020F0502020204030204" pitchFamily="34" charset="0"/>
            </a:rPr>
            <a:pPr/>
            <a:t>1,000</a:t>
          </a:fld>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7620</xdr:colOff>
      <xdr:row>6</xdr:row>
      <xdr:rowOff>53340</xdr:rowOff>
    </xdr:from>
    <xdr:to>
      <xdr:col>1</xdr:col>
      <xdr:colOff>579120</xdr:colOff>
      <xdr:row>7</xdr:row>
      <xdr:rowOff>144780</xdr:rowOff>
    </xdr:to>
    <xdr:sp macro="" textlink="'Data Analyst'!A9">
      <xdr:nvSpPr>
        <xdr:cNvPr id="6" name="TextBox 5">
          <a:extLst>
            <a:ext uri="{FF2B5EF4-FFF2-40B4-BE49-F238E27FC236}">
              <a16:creationId xmlns:a16="http://schemas.microsoft.com/office/drawing/2014/main" id="{D9D29B8F-4090-857D-BF07-D25108673B93}"/>
            </a:ext>
          </a:extLst>
        </xdr:cNvPr>
        <xdr:cNvSpPr txBox="1"/>
      </xdr:nvSpPr>
      <xdr:spPr>
        <a:xfrm>
          <a:off x="678180" y="967740"/>
          <a:ext cx="571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6DD5FE-3EE6-4EDD-B0AE-435EFBC89FA8}" type="TxLink">
            <a:rPr lang="en-US" sz="1100" b="1" i="0" u="none" strike="noStrike">
              <a:solidFill>
                <a:schemeClr val="bg1">
                  <a:lumMod val="95000"/>
                </a:schemeClr>
              </a:solidFill>
              <a:latin typeface="Aptos"/>
              <a:ea typeface="Calibri" panose="020F0502020204030204" pitchFamily="34" charset="0"/>
              <a:cs typeface="Calibri" panose="020F0502020204030204" pitchFamily="34" charset="0"/>
            </a:rPr>
            <a:pPr marL="0" indent="0"/>
            <a:t>1,000</a:t>
          </a:fld>
          <a:endParaRPr lang="en-IN" sz="1100" b="1" i="0" u="none" strike="noStrike">
            <a:solidFill>
              <a:schemeClr val="bg1">
                <a:lumMod val="95000"/>
              </a:schemeClr>
            </a:solidFill>
            <a:latin typeface="Aptos"/>
            <a:ea typeface="Calibri" panose="020F0502020204030204" pitchFamily="34" charset="0"/>
            <a:cs typeface="Calibri" panose="020F0502020204030204" pitchFamily="34" charset="0"/>
          </a:endParaRPr>
        </a:p>
      </xdr:txBody>
    </xdr:sp>
    <xdr:clientData/>
  </xdr:twoCellAnchor>
  <xdr:twoCellAnchor>
    <xdr:from>
      <xdr:col>0</xdr:col>
      <xdr:colOff>312420</xdr:colOff>
      <xdr:row>8</xdr:row>
      <xdr:rowOff>99060</xdr:rowOff>
    </xdr:from>
    <xdr:to>
      <xdr:col>2</xdr:col>
      <xdr:colOff>231300</xdr:colOff>
      <xdr:row>13</xdr:row>
      <xdr:rowOff>48660</xdr:rowOff>
    </xdr:to>
    <xdr:sp macro="" textlink="">
      <xdr:nvSpPr>
        <xdr:cNvPr id="7" name="Rectangle 6">
          <a:extLst>
            <a:ext uri="{FF2B5EF4-FFF2-40B4-BE49-F238E27FC236}">
              <a16:creationId xmlns:a16="http://schemas.microsoft.com/office/drawing/2014/main" id="{389B1AC9-23AB-9D9C-5365-E1CD257D1F55}"/>
            </a:ext>
          </a:extLst>
        </xdr:cNvPr>
        <xdr:cNvSpPr/>
      </xdr:nvSpPr>
      <xdr:spPr>
        <a:xfrm>
          <a:off x="312420" y="1379220"/>
          <a:ext cx="1260000" cy="864000"/>
        </a:xfrm>
        <a:prstGeom prst="rect">
          <a:avLst/>
        </a:prstGeom>
        <a:solidFill>
          <a:schemeClr val="accent6"/>
        </a:solidFill>
        <a:ln>
          <a:noFill/>
        </a:ln>
        <a:effectLst>
          <a:outerShdw blurRad="254000" dist="508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xdr:from>
      <xdr:col>0</xdr:col>
      <xdr:colOff>624840</xdr:colOff>
      <xdr:row>8</xdr:row>
      <xdr:rowOff>106680</xdr:rowOff>
    </xdr:from>
    <xdr:to>
      <xdr:col>2</xdr:col>
      <xdr:colOff>22860</xdr:colOff>
      <xdr:row>10</xdr:row>
      <xdr:rowOff>0</xdr:rowOff>
    </xdr:to>
    <xdr:sp macro="" textlink="">
      <xdr:nvSpPr>
        <xdr:cNvPr id="8" name="TextBox 7">
          <a:extLst>
            <a:ext uri="{FF2B5EF4-FFF2-40B4-BE49-F238E27FC236}">
              <a16:creationId xmlns:a16="http://schemas.microsoft.com/office/drawing/2014/main" id="{4D02B2BF-7E76-916E-78D3-FF485184F9CB}"/>
            </a:ext>
          </a:extLst>
        </xdr:cNvPr>
        <xdr:cNvSpPr txBox="1"/>
      </xdr:nvSpPr>
      <xdr:spPr>
        <a:xfrm>
          <a:off x="624840" y="1386840"/>
          <a:ext cx="739140" cy="259080"/>
        </a:xfrm>
        <a:prstGeom prst="rect">
          <a:avLst/>
        </a:prstGeom>
        <a:noFill/>
        <a:ln>
          <a:noFill/>
        </a:ln>
        <a:effectLst>
          <a:outerShdw blurRad="254000" dist="508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0">
              <a:solidFill>
                <a:schemeClr val="bg1"/>
              </a:solidFill>
              <a:latin typeface="Calibri" panose="020F0502020204030204" pitchFamily="34" charset="0"/>
              <a:ea typeface="Calibri" panose="020F0502020204030204" pitchFamily="34" charset="0"/>
              <a:cs typeface="Calibri" panose="020F0502020204030204" pitchFamily="34" charset="0"/>
            </a:rPr>
            <a:t>Amount</a:t>
          </a:r>
        </a:p>
      </xdr:txBody>
    </xdr:sp>
    <xdr:clientData/>
  </xdr:twoCellAnchor>
  <xdr:twoCellAnchor>
    <xdr:from>
      <xdr:col>0</xdr:col>
      <xdr:colOff>487680</xdr:colOff>
      <xdr:row>9</xdr:row>
      <xdr:rowOff>160020</xdr:rowOff>
    </xdr:from>
    <xdr:to>
      <xdr:col>2</xdr:col>
      <xdr:colOff>190500</xdr:colOff>
      <xdr:row>11</xdr:row>
      <xdr:rowOff>152400</xdr:rowOff>
    </xdr:to>
    <xdr:sp macro="" textlink="'Data Analyst'!B4">
      <xdr:nvSpPr>
        <xdr:cNvPr id="10" name="TextBox 9">
          <a:extLst>
            <a:ext uri="{FF2B5EF4-FFF2-40B4-BE49-F238E27FC236}">
              <a16:creationId xmlns:a16="http://schemas.microsoft.com/office/drawing/2014/main" id="{8032A770-0D9F-3136-4AD9-12F52ABB158C}"/>
            </a:ext>
          </a:extLst>
        </xdr:cNvPr>
        <xdr:cNvSpPr txBox="1"/>
      </xdr:nvSpPr>
      <xdr:spPr>
        <a:xfrm>
          <a:off x="487680" y="1623060"/>
          <a:ext cx="1043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943CFF-7BDF-4126-B8BD-C08744351FA8}" type="TxLink">
            <a:rPr lang="en-US" sz="1800" b="1" i="0" u="none" strike="noStrike">
              <a:solidFill>
                <a:schemeClr val="bg1"/>
              </a:solidFill>
              <a:latin typeface="Aptos"/>
              <a:ea typeface="Calibri" panose="020F0502020204030204" pitchFamily="34" charset="0"/>
              <a:cs typeface="Calibri" panose="020F0502020204030204" pitchFamily="34" charset="0"/>
            </a:rPr>
            <a:pPr marL="0" indent="0"/>
            <a:t>$96,623</a:t>
          </a:fld>
          <a:endParaRPr lang="en-IN" sz="1800" b="1" i="0" u="none" strike="noStrike">
            <a:solidFill>
              <a:schemeClr val="bg1"/>
            </a:solidFill>
            <a:latin typeface="Aptos"/>
            <a:ea typeface="Calibri" panose="020F0502020204030204" pitchFamily="34" charset="0"/>
            <a:cs typeface="Calibri" panose="020F0502020204030204" pitchFamily="34" charset="0"/>
          </a:endParaRPr>
        </a:p>
      </xdr:txBody>
    </xdr:sp>
    <xdr:clientData/>
  </xdr:twoCellAnchor>
  <xdr:twoCellAnchor>
    <xdr:from>
      <xdr:col>0</xdr:col>
      <xdr:colOff>586740</xdr:colOff>
      <xdr:row>11</xdr:row>
      <xdr:rowOff>114300</xdr:rowOff>
    </xdr:from>
    <xdr:to>
      <xdr:col>1</xdr:col>
      <xdr:colOff>594360</xdr:colOff>
      <xdr:row>13</xdr:row>
      <xdr:rowOff>22860</xdr:rowOff>
    </xdr:to>
    <xdr:sp macro="" textlink="'Data Analyst'!B9">
      <xdr:nvSpPr>
        <xdr:cNvPr id="11" name="TextBox 10">
          <a:extLst>
            <a:ext uri="{FF2B5EF4-FFF2-40B4-BE49-F238E27FC236}">
              <a16:creationId xmlns:a16="http://schemas.microsoft.com/office/drawing/2014/main" id="{9460BE9A-8C66-5EC9-1DAD-B02C18961946}"/>
            </a:ext>
          </a:extLst>
        </xdr:cNvPr>
        <xdr:cNvSpPr txBox="1"/>
      </xdr:nvSpPr>
      <xdr:spPr>
        <a:xfrm>
          <a:off x="586740" y="1943100"/>
          <a:ext cx="6781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82982-0FA9-4E05-86F9-E5DDFD8E91DE}" type="TxLink">
            <a:rPr lang="en-US" sz="1100" b="1" i="0" u="none" strike="noStrike">
              <a:solidFill>
                <a:schemeClr val="bg1">
                  <a:lumMod val="95000"/>
                </a:schemeClr>
              </a:solidFill>
              <a:latin typeface="Aptos"/>
              <a:ea typeface="Calibri" panose="020F0502020204030204" pitchFamily="34" charset="0"/>
              <a:cs typeface="Calibri" panose="020F0502020204030204" pitchFamily="34" charset="0"/>
            </a:rPr>
            <a:pPr marL="0" indent="0"/>
            <a:t>$96,623</a:t>
          </a:fld>
          <a:endParaRPr lang="en-IN" sz="1100" b="1" i="0" u="none" strike="noStrike">
            <a:solidFill>
              <a:schemeClr val="bg1">
                <a:lumMod val="95000"/>
              </a:schemeClr>
            </a:solidFill>
            <a:latin typeface="Aptos"/>
            <a:ea typeface="Calibri" panose="020F0502020204030204" pitchFamily="34" charset="0"/>
            <a:cs typeface="Calibri" panose="020F0502020204030204" pitchFamily="34" charset="0"/>
          </a:endParaRPr>
        </a:p>
      </xdr:txBody>
    </xdr:sp>
    <xdr:clientData/>
  </xdr:twoCellAnchor>
  <xdr:twoCellAnchor>
    <xdr:from>
      <xdr:col>0</xdr:col>
      <xdr:colOff>335280</xdr:colOff>
      <xdr:row>14</xdr:row>
      <xdr:rowOff>7620</xdr:rowOff>
    </xdr:from>
    <xdr:to>
      <xdr:col>2</xdr:col>
      <xdr:colOff>254160</xdr:colOff>
      <xdr:row>18</xdr:row>
      <xdr:rowOff>140100</xdr:rowOff>
    </xdr:to>
    <xdr:sp macro="" textlink="">
      <xdr:nvSpPr>
        <xdr:cNvPr id="12" name="Rectangle 11">
          <a:extLst>
            <a:ext uri="{FF2B5EF4-FFF2-40B4-BE49-F238E27FC236}">
              <a16:creationId xmlns:a16="http://schemas.microsoft.com/office/drawing/2014/main" id="{6442670B-F288-5F11-361A-EA1CD934995F}"/>
            </a:ext>
          </a:extLst>
        </xdr:cNvPr>
        <xdr:cNvSpPr/>
      </xdr:nvSpPr>
      <xdr:spPr>
        <a:xfrm>
          <a:off x="335280" y="2385060"/>
          <a:ext cx="1260000" cy="864000"/>
        </a:xfrm>
        <a:prstGeom prst="rect">
          <a:avLst/>
        </a:prstGeom>
        <a:solidFill>
          <a:schemeClr val="accent6"/>
        </a:solidFill>
        <a:ln>
          <a:noFill/>
        </a:ln>
        <a:effectLst>
          <a:outerShdw blurRad="254000" dist="508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624840</xdr:colOff>
      <xdr:row>14</xdr:row>
      <xdr:rowOff>0</xdr:rowOff>
    </xdr:from>
    <xdr:to>
      <xdr:col>2</xdr:col>
      <xdr:colOff>68580</xdr:colOff>
      <xdr:row>15</xdr:row>
      <xdr:rowOff>76200</xdr:rowOff>
    </xdr:to>
    <xdr:sp macro="" textlink="">
      <xdr:nvSpPr>
        <xdr:cNvPr id="13" name="TextBox 12">
          <a:extLst>
            <a:ext uri="{FF2B5EF4-FFF2-40B4-BE49-F238E27FC236}">
              <a16:creationId xmlns:a16="http://schemas.microsoft.com/office/drawing/2014/main" id="{8F201303-EEFC-030A-1FDB-335A1D4C51D4}"/>
            </a:ext>
          </a:extLst>
        </xdr:cNvPr>
        <xdr:cNvSpPr txBox="1"/>
      </xdr:nvSpPr>
      <xdr:spPr>
        <a:xfrm>
          <a:off x="624840" y="2377440"/>
          <a:ext cx="784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latin typeface="Calibri" panose="020F0502020204030204" pitchFamily="34" charset="0"/>
              <a:ea typeface="Calibri" panose="020F0502020204030204" pitchFamily="34" charset="0"/>
              <a:cs typeface="Calibri" panose="020F0502020204030204" pitchFamily="34" charset="0"/>
            </a:rPr>
            <a:t>Durations</a:t>
          </a:r>
        </a:p>
      </xdr:txBody>
    </xdr:sp>
    <xdr:clientData/>
  </xdr:twoCellAnchor>
  <xdr:twoCellAnchor>
    <xdr:from>
      <xdr:col>0</xdr:col>
      <xdr:colOff>495300</xdr:colOff>
      <xdr:row>15</xdr:row>
      <xdr:rowOff>53340</xdr:rowOff>
    </xdr:from>
    <xdr:to>
      <xdr:col>2</xdr:col>
      <xdr:colOff>167640</xdr:colOff>
      <xdr:row>17</xdr:row>
      <xdr:rowOff>22860</xdr:rowOff>
    </xdr:to>
    <xdr:sp macro="" textlink="'Data Analyst'!C4">
      <xdr:nvSpPr>
        <xdr:cNvPr id="15" name="TextBox 14">
          <a:extLst>
            <a:ext uri="{FF2B5EF4-FFF2-40B4-BE49-F238E27FC236}">
              <a16:creationId xmlns:a16="http://schemas.microsoft.com/office/drawing/2014/main" id="{C5553319-0BF6-4608-F40C-32E7369C583E}"/>
            </a:ext>
          </a:extLst>
        </xdr:cNvPr>
        <xdr:cNvSpPr txBox="1"/>
      </xdr:nvSpPr>
      <xdr:spPr>
        <a:xfrm>
          <a:off x="495300" y="2613660"/>
          <a:ext cx="10134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1DC0F3-D1F4-4D4A-8C35-19E1C7F39378}" type="TxLink">
            <a:rPr lang="en-US" sz="1800" b="1" i="0" u="none" strike="noStrike">
              <a:solidFill>
                <a:schemeClr val="bg1"/>
              </a:solidFill>
              <a:latin typeface="Aptos"/>
              <a:ea typeface="Calibri" panose="020F0502020204030204" pitchFamily="34" charset="0"/>
              <a:cs typeface="Calibri" panose="020F0502020204030204" pitchFamily="34" charset="0"/>
            </a:rPr>
            <a:pPr marL="0" indent="0"/>
            <a:t>89,850</a:t>
          </a:fld>
          <a:endParaRPr lang="en-IN" sz="1800" b="1" i="0" u="none" strike="noStrike">
            <a:solidFill>
              <a:schemeClr val="bg1"/>
            </a:solidFill>
            <a:latin typeface="Aptos"/>
            <a:ea typeface="Calibri" panose="020F0502020204030204" pitchFamily="34" charset="0"/>
            <a:cs typeface="Calibri" panose="020F0502020204030204" pitchFamily="34" charset="0"/>
          </a:endParaRPr>
        </a:p>
      </xdr:txBody>
    </xdr:sp>
    <xdr:clientData/>
  </xdr:twoCellAnchor>
  <xdr:twoCellAnchor>
    <xdr:from>
      <xdr:col>0</xdr:col>
      <xdr:colOff>617220</xdr:colOff>
      <xdr:row>17</xdr:row>
      <xdr:rowOff>22860</xdr:rowOff>
    </xdr:from>
    <xdr:to>
      <xdr:col>2</xdr:col>
      <xdr:colOff>60960</xdr:colOff>
      <xdr:row>18</xdr:row>
      <xdr:rowOff>68580</xdr:rowOff>
    </xdr:to>
    <xdr:sp macro="" textlink="'Data Analyst'!C9">
      <xdr:nvSpPr>
        <xdr:cNvPr id="16" name="TextBox 15">
          <a:extLst>
            <a:ext uri="{FF2B5EF4-FFF2-40B4-BE49-F238E27FC236}">
              <a16:creationId xmlns:a16="http://schemas.microsoft.com/office/drawing/2014/main" id="{691E15AC-ADBD-E90F-98FF-E9CD909E659A}"/>
            </a:ext>
          </a:extLst>
        </xdr:cNvPr>
        <xdr:cNvSpPr txBox="1"/>
      </xdr:nvSpPr>
      <xdr:spPr>
        <a:xfrm>
          <a:off x="617220" y="2948940"/>
          <a:ext cx="7848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001983-8894-4653-8EB0-C2879A0F8150}" type="TxLink">
            <a:rPr lang="en-US" sz="1100" b="1" i="0" u="none" strike="noStrike">
              <a:solidFill>
                <a:schemeClr val="bg1">
                  <a:lumMod val="95000"/>
                </a:schemeClr>
              </a:solidFill>
              <a:latin typeface="Aptos"/>
              <a:ea typeface="Calibri" panose="020F0502020204030204" pitchFamily="34" charset="0"/>
              <a:cs typeface="Calibri" panose="020F0502020204030204" pitchFamily="34" charset="0"/>
            </a:rPr>
            <a:pPr marL="0" indent="0"/>
            <a:t>89,850</a:t>
          </a:fld>
          <a:endParaRPr lang="en-IN" sz="1100" b="1" i="0" u="none" strike="noStrike">
            <a:solidFill>
              <a:schemeClr val="bg1">
                <a:lumMod val="95000"/>
              </a:schemeClr>
            </a:solidFill>
            <a:latin typeface="Aptos"/>
            <a:ea typeface="Calibri" panose="020F0502020204030204" pitchFamily="34" charset="0"/>
            <a:cs typeface="Calibri" panose="020F0502020204030204" pitchFamily="34" charset="0"/>
          </a:endParaRPr>
        </a:p>
      </xdr:txBody>
    </xdr:sp>
    <xdr:clientData/>
  </xdr:twoCellAnchor>
  <xdr:twoCellAnchor>
    <xdr:from>
      <xdr:col>0</xdr:col>
      <xdr:colOff>358140</xdr:colOff>
      <xdr:row>19</xdr:row>
      <xdr:rowOff>99060</xdr:rowOff>
    </xdr:from>
    <xdr:to>
      <xdr:col>2</xdr:col>
      <xdr:colOff>277020</xdr:colOff>
      <xdr:row>24</xdr:row>
      <xdr:rowOff>48660</xdr:rowOff>
    </xdr:to>
    <xdr:sp macro="" textlink="">
      <xdr:nvSpPr>
        <xdr:cNvPr id="17" name="Rectangle 16">
          <a:extLst>
            <a:ext uri="{FF2B5EF4-FFF2-40B4-BE49-F238E27FC236}">
              <a16:creationId xmlns:a16="http://schemas.microsoft.com/office/drawing/2014/main" id="{9FA20B3C-FD6A-D726-E0D6-DAC64951DC68}"/>
            </a:ext>
          </a:extLst>
        </xdr:cNvPr>
        <xdr:cNvSpPr/>
      </xdr:nvSpPr>
      <xdr:spPr>
        <a:xfrm>
          <a:off x="358140" y="3390900"/>
          <a:ext cx="1260000" cy="864000"/>
        </a:xfrm>
        <a:prstGeom prst="rect">
          <a:avLst/>
        </a:prstGeom>
        <a:solidFill>
          <a:schemeClr val="accent6"/>
        </a:solidFill>
        <a:ln>
          <a:noFill/>
        </a:ln>
        <a:effectLst>
          <a:outerShdw blurRad="254000" dist="508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579120</xdr:colOff>
      <xdr:row>19</xdr:row>
      <xdr:rowOff>99060</xdr:rowOff>
    </xdr:from>
    <xdr:to>
      <xdr:col>2</xdr:col>
      <xdr:colOff>213360</xdr:colOff>
      <xdr:row>20</xdr:row>
      <xdr:rowOff>129540</xdr:rowOff>
    </xdr:to>
    <xdr:sp macro="" textlink="">
      <xdr:nvSpPr>
        <xdr:cNvPr id="18" name="TextBox 17">
          <a:extLst>
            <a:ext uri="{FF2B5EF4-FFF2-40B4-BE49-F238E27FC236}">
              <a16:creationId xmlns:a16="http://schemas.microsoft.com/office/drawing/2014/main" id="{F341B847-462A-EE79-2675-FB99AAD52E45}"/>
            </a:ext>
          </a:extLst>
        </xdr:cNvPr>
        <xdr:cNvSpPr txBox="1"/>
      </xdr:nvSpPr>
      <xdr:spPr>
        <a:xfrm>
          <a:off x="579120" y="3390900"/>
          <a:ext cx="9753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latin typeface="Calibri" panose="020F0502020204030204" pitchFamily="34" charset="0"/>
              <a:ea typeface="Calibri" panose="020F0502020204030204" pitchFamily="34" charset="0"/>
              <a:cs typeface="Calibri" panose="020F0502020204030204" pitchFamily="34" charset="0"/>
            </a:rPr>
            <a:t>Avg. Ratings</a:t>
          </a:r>
        </a:p>
      </xdr:txBody>
    </xdr:sp>
    <xdr:clientData/>
  </xdr:twoCellAnchor>
  <xdr:twoCellAnchor>
    <xdr:from>
      <xdr:col>1</xdr:col>
      <xdr:colOff>60960</xdr:colOff>
      <xdr:row>20</xdr:row>
      <xdr:rowOff>137160</xdr:rowOff>
    </xdr:from>
    <xdr:to>
      <xdr:col>2</xdr:col>
      <xdr:colOff>259080</xdr:colOff>
      <xdr:row>22</xdr:row>
      <xdr:rowOff>106680</xdr:rowOff>
    </xdr:to>
    <xdr:sp macro="" textlink="'Data Analyst'!D4">
      <xdr:nvSpPr>
        <xdr:cNvPr id="20" name="TextBox 19">
          <a:extLst>
            <a:ext uri="{FF2B5EF4-FFF2-40B4-BE49-F238E27FC236}">
              <a16:creationId xmlns:a16="http://schemas.microsoft.com/office/drawing/2014/main" id="{1CBBEC7A-8001-0EB0-111C-E4D73C9D6AE3}"/>
            </a:ext>
          </a:extLst>
        </xdr:cNvPr>
        <xdr:cNvSpPr txBox="1"/>
      </xdr:nvSpPr>
      <xdr:spPr>
        <a:xfrm>
          <a:off x="731520" y="3611880"/>
          <a:ext cx="8686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143E5E-52A2-4711-B8BD-55C16F2DCA49}" type="TxLink">
            <a:rPr lang="en-US" sz="1400" b="1" i="0" u="none" strike="noStrike">
              <a:solidFill>
                <a:schemeClr val="bg1"/>
              </a:solidFill>
              <a:latin typeface="Aptos"/>
              <a:ea typeface="Calibri" panose="020F0502020204030204" pitchFamily="34" charset="0"/>
              <a:cs typeface="Calibri" panose="020F0502020204030204" pitchFamily="34" charset="0"/>
            </a:rPr>
            <a:pPr marL="0" indent="0"/>
            <a:t>3.9</a:t>
          </a:fld>
          <a:endParaRPr lang="en-IN" sz="1400" b="1" i="0" u="none" strike="noStrike">
            <a:solidFill>
              <a:schemeClr val="bg1"/>
            </a:solidFill>
            <a:latin typeface="Aptos"/>
            <a:ea typeface="Calibri" panose="020F0502020204030204" pitchFamily="34" charset="0"/>
            <a:cs typeface="Calibri" panose="020F0502020204030204" pitchFamily="34" charset="0"/>
          </a:endParaRPr>
        </a:p>
      </xdr:txBody>
    </xdr:sp>
    <xdr:clientData/>
  </xdr:twoCellAnchor>
  <xdr:twoCellAnchor>
    <xdr:from>
      <xdr:col>1</xdr:col>
      <xdr:colOff>91440</xdr:colOff>
      <xdr:row>22</xdr:row>
      <xdr:rowOff>38100</xdr:rowOff>
    </xdr:from>
    <xdr:to>
      <xdr:col>1</xdr:col>
      <xdr:colOff>662940</xdr:colOff>
      <xdr:row>23</xdr:row>
      <xdr:rowOff>129540</xdr:rowOff>
    </xdr:to>
    <xdr:sp macro="" textlink="'Data Analyst'!D9">
      <xdr:nvSpPr>
        <xdr:cNvPr id="21" name="TextBox 20">
          <a:extLst>
            <a:ext uri="{FF2B5EF4-FFF2-40B4-BE49-F238E27FC236}">
              <a16:creationId xmlns:a16="http://schemas.microsoft.com/office/drawing/2014/main" id="{C70713F7-2A4F-EC64-CF66-D4F9838FCBF4}"/>
            </a:ext>
          </a:extLst>
        </xdr:cNvPr>
        <xdr:cNvSpPr txBox="1"/>
      </xdr:nvSpPr>
      <xdr:spPr>
        <a:xfrm>
          <a:off x="762000" y="3878580"/>
          <a:ext cx="571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0EC04C-54E8-471B-8616-BD33E06DD23D}" type="TxLink">
            <a:rPr lang="en-US" sz="1100" b="1" i="0" u="none" strike="noStrike">
              <a:solidFill>
                <a:schemeClr val="bg1">
                  <a:lumMod val="95000"/>
                </a:schemeClr>
              </a:solidFill>
              <a:latin typeface="Aptos"/>
              <a:ea typeface="Calibri" panose="020F0502020204030204" pitchFamily="34" charset="0"/>
              <a:cs typeface="Calibri" panose="020F0502020204030204" pitchFamily="34" charset="0"/>
            </a:rPr>
            <a:pPr marL="0" indent="0"/>
            <a:t>3.9</a:t>
          </a:fld>
          <a:endParaRPr lang="en-IN" sz="1100" b="1" i="0" u="none" strike="noStrike">
            <a:solidFill>
              <a:schemeClr val="bg1">
                <a:lumMod val="95000"/>
              </a:schemeClr>
            </a:solidFill>
            <a:latin typeface="Aptos"/>
            <a:ea typeface="Calibri" panose="020F0502020204030204" pitchFamily="34" charset="0"/>
            <a:cs typeface="Calibri" panose="020F0502020204030204" pitchFamily="34" charset="0"/>
          </a:endParaRPr>
        </a:p>
      </xdr:txBody>
    </xdr:sp>
    <xdr:clientData/>
  </xdr:twoCellAnchor>
  <xdr:twoCellAnchor>
    <xdr:from>
      <xdr:col>0</xdr:col>
      <xdr:colOff>381000</xdr:colOff>
      <xdr:row>25</xdr:row>
      <xdr:rowOff>7620</xdr:rowOff>
    </xdr:from>
    <xdr:to>
      <xdr:col>2</xdr:col>
      <xdr:colOff>299880</xdr:colOff>
      <xdr:row>29</xdr:row>
      <xdr:rowOff>140100</xdr:rowOff>
    </xdr:to>
    <xdr:sp macro="" textlink="">
      <xdr:nvSpPr>
        <xdr:cNvPr id="22" name="Rectangle 21">
          <a:extLst>
            <a:ext uri="{FF2B5EF4-FFF2-40B4-BE49-F238E27FC236}">
              <a16:creationId xmlns:a16="http://schemas.microsoft.com/office/drawing/2014/main" id="{05DA791A-62ED-80F8-E3D3-8D25E79BCFCB}"/>
            </a:ext>
          </a:extLst>
        </xdr:cNvPr>
        <xdr:cNvSpPr/>
      </xdr:nvSpPr>
      <xdr:spPr>
        <a:xfrm>
          <a:off x="381000" y="4396740"/>
          <a:ext cx="1260000" cy="864000"/>
        </a:xfrm>
        <a:prstGeom prst="rect">
          <a:avLst/>
        </a:prstGeom>
        <a:solidFill>
          <a:schemeClr val="accent6"/>
        </a:solidFill>
        <a:ln>
          <a:noFill/>
        </a:ln>
        <a:effectLst>
          <a:outerShdw blurRad="254000" dist="508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609600</xdr:colOff>
      <xdr:row>24</xdr:row>
      <xdr:rowOff>160020</xdr:rowOff>
    </xdr:from>
    <xdr:to>
      <xdr:col>2</xdr:col>
      <xdr:colOff>259080</xdr:colOff>
      <xdr:row>26</xdr:row>
      <xdr:rowOff>30480</xdr:rowOff>
    </xdr:to>
    <xdr:sp macro="" textlink="">
      <xdr:nvSpPr>
        <xdr:cNvPr id="23" name="TextBox 22">
          <a:extLst>
            <a:ext uri="{FF2B5EF4-FFF2-40B4-BE49-F238E27FC236}">
              <a16:creationId xmlns:a16="http://schemas.microsoft.com/office/drawing/2014/main" id="{7DFB73DA-D347-D3EB-3660-8AE6D984A464}"/>
            </a:ext>
          </a:extLst>
        </xdr:cNvPr>
        <xdr:cNvSpPr txBox="1"/>
      </xdr:nvSpPr>
      <xdr:spPr>
        <a:xfrm>
          <a:off x="609600" y="4366260"/>
          <a:ext cx="9906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latin typeface="Calibri" panose="020F0502020204030204" pitchFamily="34" charset="0"/>
              <a:ea typeface="Calibri" panose="020F0502020204030204" pitchFamily="34" charset="0"/>
              <a:cs typeface="Calibri" panose="020F0502020204030204" pitchFamily="34" charset="0"/>
            </a:rPr>
            <a:t>Happy Callers</a:t>
          </a:r>
        </a:p>
      </xdr:txBody>
    </xdr:sp>
    <xdr:clientData/>
  </xdr:twoCellAnchor>
  <xdr:twoCellAnchor>
    <xdr:from>
      <xdr:col>1</xdr:col>
      <xdr:colOff>129540</xdr:colOff>
      <xdr:row>26</xdr:row>
      <xdr:rowOff>68580</xdr:rowOff>
    </xdr:from>
    <xdr:to>
      <xdr:col>1</xdr:col>
      <xdr:colOff>609600</xdr:colOff>
      <xdr:row>27</xdr:row>
      <xdr:rowOff>121920</xdr:rowOff>
    </xdr:to>
    <xdr:sp macro="" textlink="'Data Analyst'!E4">
      <xdr:nvSpPr>
        <xdr:cNvPr id="25" name="TextBox 24">
          <a:extLst>
            <a:ext uri="{FF2B5EF4-FFF2-40B4-BE49-F238E27FC236}">
              <a16:creationId xmlns:a16="http://schemas.microsoft.com/office/drawing/2014/main" id="{88CD9841-46B6-A924-56FD-404AB6157AE6}"/>
            </a:ext>
          </a:extLst>
        </xdr:cNvPr>
        <xdr:cNvSpPr txBox="1"/>
      </xdr:nvSpPr>
      <xdr:spPr>
        <a:xfrm>
          <a:off x="800100" y="4640580"/>
          <a:ext cx="4800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892F88-39B4-4342-973C-B179922A6259}" type="TxLink">
            <a:rPr lang="en-US" sz="1400" b="1" i="0" u="none" strike="noStrike">
              <a:solidFill>
                <a:schemeClr val="bg1"/>
              </a:solidFill>
              <a:latin typeface="Aptos"/>
              <a:ea typeface="Calibri" panose="020F0502020204030204" pitchFamily="34" charset="0"/>
              <a:cs typeface="Calibri" panose="020F0502020204030204" pitchFamily="34" charset="0"/>
            </a:rPr>
            <a:pPr marL="0" indent="0"/>
            <a:t>307</a:t>
          </a:fld>
          <a:endParaRPr lang="en-IN" sz="1400" b="1" i="0" u="none" strike="noStrike">
            <a:solidFill>
              <a:schemeClr val="bg1"/>
            </a:solidFill>
            <a:latin typeface="Aptos"/>
            <a:ea typeface="Calibri" panose="020F0502020204030204" pitchFamily="34" charset="0"/>
            <a:cs typeface="Calibri" panose="020F0502020204030204" pitchFamily="34" charset="0"/>
          </a:endParaRPr>
        </a:p>
      </xdr:txBody>
    </xdr:sp>
    <xdr:clientData/>
  </xdr:twoCellAnchor>
  <xdr:twoCellAnchor>
    <xdr:from>
      <xdr:col>1</xdr:col>
      <xdr:colOff>99060</xdr:colOff>
      <xdr:row>28</xdr:row>
      <xdr:rowOff>53340</xdr:rowOff>
    </xdr:from>
    <xdr:to>
      <xdr:col>2</xdr:col>
      <xdr:colOff>0</xdr:colOff>
      <xdr:row>29</xdr:row>
      <xdr:rowOff>144780</xdr:rowOff>
    </xdr:to>
    <xdr:sp macro="" textlink="'Data Analyst'!A9">
      <xdr:nvSpPr>
        <xdr:cNvPr id="26" name="TextBox 25">
          <a:extLst>
            <a:ext uri="{FF2B5EF4-FFF2-40B4-BE49-F238E27FC236}">
              <a16:creationId xmlns:a16="http://schemas.microsoft.com/office/drawing/2014/main" id="{BD1C8C2A-42AE-29EA-5086-7F59F423F970}"/>
            </a:ext>
          </a:extLst>
        </xdr:cNvPr>
        <xdr:cNvSpPr txBox="1"/>
      </xdr:nvSpPr>
      <xdr:spPr>
        <a:xfrm>
          <a:off x="769620" y="4991100"/>
          <a:ext cx="571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IN" sz="1100" b="1" i="0" u="none" strike="noStrike">
            <a:solidFill>
              <a:schemeClr val="bg1">
                <a:lumMod val="95000"/>
              </a:schemeClr>
            </a:solidFill>
            <a:latin typeface="Aptos"/>
            <a:ea typeface="Calibri" panose="020F0502020204030204" pitchFamily="34" charset="0"/>
            <a:cs typeface="Calibri" panose="020F0502020204030204" pitchFamily="34" charset="0"/>
          </a:endParaRPr>
        </a:p>
      </xdr:txBody>
    </xdr:sp>
    <xdr:clientData/>
  </xdr:twoCellAnchor>
  <xdr:twoCellAnchor editAs="oneCell">
    <xdr:from>
      <xdr:col>0</xdr:col>
      <xdr:colOff>304800</xdr:colOff>
      <xdr:row>8</xdr:row>
      <xdr:rowOff>106681</xdr:rowOff>
    </xdr:from>
    <xdr:to>
      <xdr:col>0</xdr:col>
      <xdr:colOff>621110</xdr:colOff>
      <xdr:row>10</xdr:row>
      <xdr:rowOff>45720</xdr:rowOff>
    </xdr:to>
    <xdr:pic>
      <xdr:nvPicPr>
        <xdr:cNvPr id="27" name="Graphic 26" descr="Shopping cart with solid fill">
          <a:extLst>
            <a:ext uri="{FF2B5EF4-FFF2-40B4-BE49-F238E27FC236}">
              <a16:creationId xmlns:a16="http://schemas.microsoft.com/office/drawing/2014/main" id="{CFF605DA-298A-4E07-827C-43390241D0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0" y="1386841"/>
          <a:ext cx="316310" cy="304799"/>
        </a:xfrm>
        <a:prstGeom prst="rect">
          <a:avLst/>
        </a:prstGeom>
      </xdr:spPr>
    </xdr:pic>
    <xdr:clientData/>
  </xdr:twoCellAnchor>
  <xdr:twoCellAnchor editAs="oneCell">
    <xdr:from>
      <xdr:col>0</xdr:col>
      <xdr:colOff>335280</xdr:colOff>
      <xdr:row>14</xdr:row>
      <xdr:rowOff>7621</xdr:rowOff>
    </xdr:from>
    <xdr:to>
      <xdr:col>0</xdr:col>
      <xdr:colOff>643822</xdr:colOff>
      <xdr:row>15</xdr:row>
      <xdr:rowOff>129540</xdr:rowOff>
    </xdr:to>
    <xdr:pic>
      <xdr:nvPicPr>
        <xdr:cNvPr id="28" name="Graphic 27" descr="Hourglass Finished with solid fill">
          <a:extLst>
            <a:ext uri="{FF2B5EF4-FFF2-40B4-BE49-F238E27FC236}">
              <a16:creationId xmlns:a16="http://schemas.microsoft.com/office/drawing/2014/main" id="{73312B01-F1A4-4F80-8EAB-407ACBBAD6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5280" y="2385061"/>
          <a:ext cx="308542" cy="304799"/>
        </a:xfrm>
        <a:prstGeom prst="rect">
          <a:avLst/>
        </a:prstGeom>
      </xdr:spPr>
    </xdr:pic>
    <xdr:clientData/>
  </xdr:twoCellAnchor>
  <xdr:twoCellAnchor editAs="oneCell">
    <xdr:from>
      <xdr:col>0</xdr:col>
      <xdr:colOff>358140</xdr:colOff>
      <xdr:row>19</xdr:row>
      <xdr:rowOff>99061</xdr:rowOff>
    </xdr:from>
    <xdr:to>
      <xdr:col>0</xdr:col>
      <xdr:colOff>608015</xdr:colOff>
      <xdr:row>20</xdr:row>
      <xdr:rowOff>160020</xdr:rowOff>
    </xdr:to>
    <xdr:pic>
      <xdr:nvPicPr>
        <xdr:cNvPr id="29" name="Graphic 28" descr="Rating Star with solid fill">
          <a:extLst>
            <a:ext uri="{FF2B5EF4-FFF2-40B4-BE49-F238E27FC236}">
              <a16:creationId xmlns:a16="http://schemas.microsoft.com/office/drawing/2014/main" id="{DD02C7D1-519B-4C1E-9298-279EC0B206C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58140" y="3390901"/>
          <a:ext cx="249875" cy="243839"/>
        </a:xfrm>
        <a:prstGeom prst="rect">
          <a:avLst/>
        </a:prstGeom>
      </xdr:spPr>
    </xdr:pic>
    <xdr:clientData/>
  </xdr:twoCellAnchor>
  <xdr:twoCellAnchor>
    <xdr:from>
      <xdr:col>7</xdr:col>
      <xdr:colOff>510540</xdr:colOff>
      <xdr:row>3</xdr:row>
      <xdr:rowOff>137160</xdr:rowOff>
    </xdr:from>
    <xdr:to>
      <xdr:col>10</xdr:col>
      <xdr:colOff>297180</xdr:colOff>
      <xdr:row>13</xdr:row>
      <xdr:rowOff>0</xdr:rowOff>
    </xdr:to>
    <xdr:graphicFrame macro="">
      <xdr:nvGraphicFramePr>
        <xdr:cNvPr id="33" name="Chart 32">
          <a:extLst>
            <a:ext uri="{FF2B5EF4-FFF2-40B4-BE49-F238E27FC236}">
              <a16:creationId xmlns:a16="http://schemas.microsoft.com/office/drawing/2014/main" id="{183C41DA-868B-4A82-92B2-D0F24ED47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365760</xdr:colOff>
      <xdr:row>24</xdr:row>
      <xdr:rowOff>175261</xdr:rowOff>
    </xdr:from>
    <xdr:to>
      <xdr:col>1</xdr:col>
      <xdr:colOff>7578</xdr:colOff>
      <xdr:row>26</xdr:row>
      <xdr:rowOff>114300</xdr:rowOff>
    </xdr:to>
    <xdr:pic>
      <xdr:nvPicPr>
        <xdr:cNvPr id="30" name="Graphic 29" descr="Star-struck face outline with solid fill">
          <a:extLst>
            <a:ext uri="{FF2B5EF4-FFF2-40B4-BE49-F238E27FC236}">
              <a16:creationId xmlns:a16="http://schemas.microsoft.com/office/drawing/2014/main" id="{ADDDEFE4-5D7F-4F70-B4C0-21C00BAC390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65760" y="4381501"/>
          <a:ext cx="312378" cy="304799"/>
        </a:xfrm>
        <a:prstGeom prst="rect">
          <a:avLst/>
        </a:prstGeom>
      </xdr:spPr>
    </xdr:pic>
    <xdr:clientData/>
  </xdr:twoCellAnchor>
  <xdr:twoCellAnchor>
    <xdr:from>
      <xdr:col>1</xdr:col>
      <xdr:colOff>152400</xdr:colOff>
      <xdr:row>28</xdr:row>
      <xdr:rowOff>7620</xdr:rowOff>
    </xdr:from>
    <xdr:to>
      <xdr:col>1</xdr:col>
      <xdr:colOff>556260</xdr:colOff>
      <xdr:row>29</xdr:row>
      <xdr:rowOff>76200</xdr:rowOff>
    </xdr:to>
    <xdr:sp macro="" textlink="'Data Analyst'!E9">
      <xdr:nvSpPr>
        <xdr:cNvPr id="31" name="TextBox 30">
          <a:extLst>
            <a:ext uri="{FF2B5EF4-FFF2-40B4-BE49-F238E27FC236}">
              <a16:creationId xmlns:a16="http://schemas.microsoft.com/office/drawing/2014/main" id="{2F323AA9-A95E-E92F-FB04-B584620915ED}"/>
            </a:ext>
          </a:extLst>
        </xdr:cNvPr>
        <xdr:cNvSpPr txBox="1"/>
      </xdr:nvSpPr>
      <xdr:spPr>
        <a:xfrm>
          <a:off x="822960" y="4945380"/>
          <a:ext cx="4038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738DDE-956D-40B7-9986-7E80AF084109}" type="TxLink">
            <a:rPr lang="en-US" sz="1100" b="1" i="0" u="none" strike="noStrike">
              <a:solidFill>
                <a:schemeClr val="bg1">
                  <a:lumMod val="95000"/>
                </a:schemeClr>
              </a:solidFill>
              <a:latin typeface="Aptos"/>
              <a:ea typeface="Calibri" panose="020F0502020204030204" pitchFamily="34" charset="0"/>
              <a:cs typeface="Calibri" panose="020F0502020204030204" pitchFamily="34" charset="0"/>
            </a:rPr>
            <a:pPr marL="0" indent="0"/>
            <a:t>307</a:t>
          </a:fld>
          <a:endParaRPr lang="en-IN" sz="1100" b="1" i="0" u="none" strike="noStrike">
            <a:solidFill>
              <a:schemeClr val="bg1">
                <a:lumMod val="95000"/>
              </a:schemeClr>
            </a:solidFill>
            <a:latin typeface="Aptos"/>
            <a:ea typeface="Calibri" panose="020F0502020204030204" pitchFamily="34" charset="0"/>
            <a:cs typeface="Calibri" panose="020F0502020204030204" pitchFamily="34" charset="0"/>
          </a:endParaRPr>
        </a:p>
      </xdr:txBody>
    </xdr:sp>
    <xdr:clientData/>
  </xdr:twoCellAnchor>
  <xdr:twoCellAnchor>
    <xdr:from>
      <xdr:col>2</xdr:col>
      <xdr:colOff>426720</xdr:colOff>
      <xdr:row>3</xdr:row>
      <xdr:rowOff>0</xdr:rowOff>
    </xdr:from>
    <xdr:to>
      <xdr:col>7</xdr:col>
      <xdr:colOff>533400</xdr:colOff>
      <xdr:row>13</xdr:row>
      <xdr:rowOff>99060</xdr:rowOff>
    </xdr:to>
    <xdr:graphicFrame macro="">
      <xdr:nvGraphicFramePr>
        <xdr:cNvPr id="32" name="Chart 31">
          <a:extLst>
            <a:ext uri="{FF2B5EF4-FFF2-40B4-BE49-F238E27FC236}">
              <a16:creationId xmlns:a16="http://schemas.microsoft.com/office/drawing/2014/main" id="{3D45E891-3B84-49CD-B1D1-F395978CD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434339</xdr:colOff>
      <xdr:row>14</xdr:row>
      <xdr:rowOff>30479</xdr:rowOff>
    </xdr:from>
    <xdr:to>
      <xdr:col>8</xdr:col>
      <xdr:colOff>657224</xdr:colOff>
      <xdr:row>32</xdr:row>
      <xdr:rowOff>180974</xdr:rowOff>
    </xdr:to>
    <xdr:sp macro="" textlink="">
      <xdr:nvSpPr>
        <xdr:cNvPr id="35" name="Rectangle 34">
          <a:extLst>
            <a:ext uri="{FF2B5EF4-FFF2-40B4-BE49-F238E27FC236}">
              <a16:creationId xmlns:a16="http://schemas.microsoft.com/office/drawing/2014/main" id="{065E8D07-6629-88D1-1BB7-9A0605EEBB15}"/>
            </a:ext>
          </a:extLst>
        </xdr:cNvPr>
        <xdr:cNvSpPr/>
      </xdr:nvSpPr>
      <xdr:spPr>
        <a:xfrm>
          <a:off x="1767839" y="2383154"/>
          <a:ext cx="4223385" cy="340804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434340</xdr:colOff>
      <xdr:row>14</xdr:row>
      <xdr:rowOff>30480</xdr:rowOff>
    </xdr:from>
    <xdr:to>
      <xdr:col>6</xdr:col>
      <xdr:colOff>205740</xdr:colOff>
      <xdr:row>29</xdr:row>
      <xdr:rowOff>99060</xdr:rowOff>
    </xdr:to>
    <xdr:graphicFrame macro="">
      <xdr:nvGraphicFramePr>
        <xdr:cNvPr id="36" name="Chart 35">
          <a:extLst>
            <a:ext uri="{FF2B5EF4-FFF2-40B4-BE49-F238E27FC236}">
              <a16:creationId xmlns:a16="http://schemas.microsoft.com/office/drawing/2014/main" id="{699C4DA2-4215-4AEB-8AF9-C957FDBCF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586740</xdr:colOff>
      <xdr:row>14</xdr:row>
      <xdr:rowOff>60960</xdr:rowOff>
    </xdr:from>
    <xdr:to>
      <xdr:col>8</xdr:col>
      <xdr:colOff>647700</xdr:colOff>
      <xdr:row>29</xdr:row>
      <xdr:rowOff>91440</xdr:rowOff>
    </xdr:to>
    <xdr:graphicFrame macro="">
      <xdr:nvGraphicFramePr>
        <xdr:cNvPr id="37" name="Chart 36">
          <a:extLst>
            <a:ext uri="{FF2B5EF4-FFF2-40B4-BE49-F238E27FC236}">
              <a16:creationId xmlns:a16="http://schemas.microsoft.com/office/drawing/2014/main" id="{818D4267-9A51-429B-97FE-2543BA785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363855</xdr:colOff>
      <xdr:row>3</xdr:row>
      <xdr:rowOff>30480</xdr:rowOff>
    </xdr:from>
    <xdr:to>
      <xdr:col>14</xdr:col>
      <xdr:colOff>158115</xdr:colOff>
      <xdr:row>13</xdr:row>
      <xdr:rowOff>68580</xdr:rowOff>
    </xdr:to>
    <xdr:graphicFrame macro="">
      <xdr:nvGraphicFramePr>
        <xdr:cNvPr id="38" name="Chart 37">
          <a:extLst>
            <a:ext uri="{FF2B5EF4-FFF2-40B4-BE49-F238E27FC236}">
              <a16:creationId xmlns:a16="http://schemas.microsoft.com/office/drawing/2014/main" id="{493AA89B-D963-471E-8719-AD6C07E03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196215</xdr:colOff>
      <xdr:row>3</xdr:row>
      <xdr:rowOff>34290</xdr:rowOff>
    </xdr:from>
    <xdr:to>
      <xdr:col>18</xdr:col>
      <xdr:colOff>59055</xdr:colOff>
      <xdr:row>13</xdr:row>
      <xdr:rowOff>72390</xdr:rowOff>
    </xdr:to>
    <xdr:graphicFrame macro="">
      <xdr:nvGraphicFramePr>
        <xdr:cNvPr id="42" name="Chart 41">
          <a:extLst>
            <a:ext uri="{FF2B5EF4-FFF2-40B4-BE49-F238E27FC236}">
              <a16:creationId xmlns:a16="http://schemas.microsoft.com/office/drawing/2014/main" id="{DCC609D8-B1E9-495C-8076-66D674BDA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260985</xdr:colOff>
      <xdr:row>0</xdr:row>
      <xdr:rowOff>57150</xdr:rowOff>
    </xdr:from>
    <xdr:to>
      <xdr:col>6</xdr:col>
      <xdr:colOff>123825</xdr:colOff>
      <xdr:row>2</xdr:row>
      <xdr:rowOff>85725</xdr:rowOff>
    </xdr:to>
    <xdr:sp macro="" textlink="">
      <xdr:nvSpPr>
        <xdr:cNvPr id="9" name="Rectangle 8">
          <a:extLst>
            <a:ext uri="{FF2B5EF4-FFF2-40B4-BE49-F238E27FC236}">
              <a16:creationId xmlns:a16="http://schemas.microsoft.com/office/drawing/2014/main" id="{5B403C7F-B907-96A3-50E3-2B243F290085}"/>
            </a:ext>
          </a:extLst>
        </xdr:cNvPr>
        <xdr:cNvSpPr/>
      </xdr:nvSpPr>
      <xdr:spPr>
        <a:xfrm>
          <a:off x="927735" y="57150"/>
          <a:ext cx="3196590" cy="409575"/>
        </a:xfrm>
        <a:prstGeom prst="rect">
          <a:avLst/>
        </a:prstGeom>
        <a:solidFill>
          <a:schemeClr val="accent6"/>
        </a:solidFill>
        <a:ln>
          <a:noFill/>
        </a:ln>
        <a:effectLst>
          <a:outerShdw blurRad="254000" dist="508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kern="1200"/>
        </a:p>
      </xdr:txBody>
    </xdr:sp>
    <xdr:clientData/>
  </xdr:twoCellAnchor>
  <xdr:twoCellAnchor>
    <xdr:from>
      <xdr:col>1</xdr:col>
      <xdr:colOff>476250</xdr:colOff>
      <xdr:row>0</xdr:row>
      <xdr:rowOff>95250</xdr:rowOff>
    </xdr:from>
    <xdr:to>
      <xdr:col>5</xdr:col>
      <xdr:colOff>400050</xdr:colOff>
      <xdr:row>1</xdr:row>
      <xdr:rowOff>171450</xdr:rowOff>
    </xdr:to>
    <xdr:sp macro="" textlink="">
      <xdr:nvSpPr>
        <xdr:cNvPr id="2049" name="Text Box 1">
          <a:extLst>
            <a:ext uri="{FF2B5EF4-FFF2-40B4-BE49-F238E27FC236}">
              <a16:creationId xmlns:a16="http://schemas.microsoft.com/office/drawing/2014/main" id="{04D3F64E-F32C-7E6E-D233-DCFFEEA9E8D3}"/>
            </a:ext>
          </a:extLst>
        </xdr:cNvPr>
        <xdr:cNvSpPr txBox="1">
          <a:spLocks noChangeArrowheads="1"/>
        </xdr:cNvSpPr>
      </xdr:nvSpPr>
      <xdr:spPr bwMode="auto">
        <a:xfrm>
          <a:off x="1143000" y="95250"/>
          <a:ext cx="2590800" cy="266700"/>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400" b="0" i="0" u="none" strike="noStrike" baseline="0">
              <a:solidFill>
                <a:schemeClr val="bg1"/>
              </a:solidFill>
              <a:latin typeface="+mj-lt"/>
            </a:rPr>
            <a:t>CALL CENTRE REPORT - 2023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5690.739402083331" backgroundQuery="1" createdVersion="8" refreshedVersion="8" minRefreshableVersion="3" recordCount="0" supportSubquery="1" supportAdvancedDrill="1" xr:uid="{D54C989F-6A53-47C7-A23F-1463199C4A2D}">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5690.702097800924" backgroundQuery="1" createdVersion="8" refreshedVersion="8" minRefreshableVersion="3" recordCount="0" supportSubquery="1" supportAdvancedDrill="1" xr:uid="{CC7C7FB7-DABD-43B7-A54B-820A93BB2471}">
  <cacheSource type="external" connectionId="1"/>
  <cacheFields count="5">
    <cacheField name="[Measures].[Call Count]" caption="Call Count" numFmtId="0" hierarchy="17" level="32767"/>
    <cacheField name="[Measures].[Total Amount]" caption="Total Amount" numFmtId="0" hierarchy="18" level="32767"/>
    <cacheField name="[Measures].[Total Durations]" caption="Total Durations" numFmtId="0" hierarchy="19" level="32767"/>
    <cacheField name="[Measures].[Avg. Rating]" caption="Avg. Rating" numFmtId="0" hierarchy="20" level="32767"/>
    <cacheField name="[Measures].[5*Calls]" caption="5*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s]" caption="Total Durations"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5691.573810879629" backgroundQuery="1" createdVersion="8" refreshedVersion="8" minRefreshableVersion="3" recordCount="0" supportSubquery="1" supportAdvancedDrill="1" xr:uid="{1C2CFEAC-94B5-4A71-A662-3569047ACB19}">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5691.617813194447" backgroundQuery="1" createdVersion="8" refreshedVersion="8" minRefreshableVersion="3" recordCount="0" supportSubquery="1" supportAdvancedDrill="1" xr:uid="{265C549B-811C-480A-A895-56C46A6241B4}">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02.838222453705" backgroundQuery="1" createdVersion="8" refreshedVersion="8" minRefreshableVersion="3" recordCount="0" supportSubquery="1" supportAdvancedDrill="1" xr:uid="{C0D25C13-69BC-43DC-A544-C4210DB1322B}">
  <cacheSource type="external" connectionId="1"/>
  <cacheFields count="6">
    <cacheField name="[Measures].[Call Count]" caption="Call Count" numFmtId="0" hierarchy="17" level="32767"/>
    <cacheField name="[Measures].[Total Amount]" caption="Total Amount" numFmtId="0" hierarchy="18" level="32767"/>
    <cacheField name="[Measures].[Total Durations]" caption="Total Durations"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s]" caption="Total Durations"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02.838223379629" backgroundQuery="1" createdVersion="8" refreshedVersion="8" minRefreshableVersion="3" recordCount="0" supportSubquery="1" supportAdvancedDrill="1" xr:uid="{C466843F-6321-4522-BE82-0EA3FCD90B26}">
  <cacheSource type="external" connectionId="1"/>
  <cacheFields count="5">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02.838224305553" backgroundQuery="1" createdVersion="8" refreshedVersion="8" minRefreshableVersion="3" recordCount="0" supportSubquery="1" supportAdvancedDrill="1" xr:uid="{E8F51B1B-1EC4-4731-A519-F831427A562B}">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02.838224884261" backgroundQuery="1" createdVersion="8" refreshedVersion="8" minRefreshableVersion="3" recordCount="0" supportSubquery="1" supportAdvancedDrill="1" xr:uid="{B3BE950C-A5CD-47D6-922F-663CCABF1BEC}">
  <cacheSource type="external" connectionId="1"/>
  <cacheFields count="1">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02.838225694446" backgroundQuery="1" createdVersion="8" refreshedVersion="8" minRefreshableVersion="3" recordCount="0" supportSubquery="1" supportAdvancedDrill="1" xr:uid="{0C37B6B0-A958-4C50-B7A6-41EC2CA282F4}">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5690.702093865744" backgroundQuery="1" createdVersion="3" refreshedVersion="8" minRefreshableVersion="3" recordCount="0" supportSubquery="1" supportAdvancedDrill="1" xr:uid="{1FB86E4E-BDD8-42B8-A398-1DAAA31359FB}">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632488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8B388-A5A6-442D-9FA0-3245B81EAFB9}" name="Male Vs Female" cacheId="2" applyNumberFormats="0" applyBorderFormats="0" applyFontFormats="0" applyPatternFormats="0" applyAlignmentFormats="0" applyWidthHeightFormats="1" dataCaption="Values" tag="7a60740f-1eae-42ad-89a0-3b3699dddf6c" updatedVersion="8" minRefreshableVersion="3" useAutoFormatting="1" subtotalHiddenItems="1" itemPrintTitles="1" createdVersion="8" indent="0" outline="1" outlineData="1" multipleFieldFilters="0" chartFormat="9">
  <location ref="A67:D7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F676B-8A15-494F-B9B0-D4FDFCF96091}" name="Weekly Trend" cacheId="63" applyNumberFormats="0" applyBorderFormats="0" applyFontFormats="0" applyPatternFormats="0" applyAlignmentFormats="0" applyWidthHeightFormats="1" dataCaption="Values" tag="29e63f4a-b789-4873-a6c3-b626e212240b" updatedVersion="8" minRefreshableVersion="3" useAutoFormatting="1" subtotalHiddenItems="1" itemPrintTitles="1" createdVersion="8" indent="0" outline="1" outlineData="1" multipleFieldFilters="0" chartFormat="22">
  <location ref="A32:B40" firstHeaderRow="1" firstDataRow="1" firstDataCol="1"/>
  <pivotFields count="3">
    <pivotField axis="axisRow" allDrilled="1" subtotalTop="0" showAll="0" sortType="descending" defaultSubtotal="0" defaultAttributeDrillState="1">
      <items count="7">
        <item x="3"/>
        <item x="2"/>
        <item x="0"/>
        <item x="4"/>
        <item x="6"/>
        <item x="5"/>
        <item x="1"/>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formats count="2">
    <format dxfId="2">
      <pivotArea type="all" dataOnly="0" outline="0" fieldPosition="0"/>
    </format>
    <format dxfId="1">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31504C-9A9C-426D-BA3E-D2D6E1995213}" name="Summary Povit" cacheId="1" applyNumberFormats="0" applyBorderFormats="0" applyFontFormats="0" applyPatternFormats="0" applyAlignmentFormats="0" applyWidthHeightFormats="1" dataCaption="Values" tag="9eac428e-8b11-454e-9c57-a3356df01b34"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numFmtId="3"/>
    <dataField fld="3" subtotal="count" baseField="0" baseItem="0" numFmtId="166"/>
    <dataField fld="4" subtotal="count" baseField="0" baseItem="0"/>
  </dataFields>
  <formats count="5">
    <format dxfId="7">
      <pivotArea outline="0" collapsedLevelsAreSubtotals="1" fieldPosition="0">
        <references count="1">
          <reference field="4294967294" count="1" selected="0">
            <x v="3"/>
          </reference>
        </references>
      </pivotArea>
    </format>
    <format dxfId="6">
      <pivotArea type="all" dataOnly="0" outline="0" fieldPosition="0"/>
    </format>
    <format dxfId="5">
      <pivotArea outline="0" collapsedLevelsAreSubtotals="1" fieldPosition="0"/>
    </format>
    <format dxfId="4">
      <pivotArea dataOnly="0" labelOnly="1" outline="0" fieldPosition="0">
        <references count="1">
          <reference field="4294967294" count="5">
            <x v="0"/>
            <x v="1"/>
            <x v="2"/>
            <x v="3"/>
            <x v="4"/>
          </reference>
        </references>
      </pivotArea>
    </format>
    <format dxfId="3">
      <pivotArea outline="0" collapsedLevelsAreSubtotals="1" fieldPosition="0">
        <references count="1">
          <reference field="4294967294" count="1" selected="0">
            <x v="2"/>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0A7E31-4006-48F1-B67A-5717D2BADCF7}" name="Rep Amount" cacheId="3" applyNumberFormats="0" applyBorderFormats="0" applyFontFormats="0" applyPatternFormats="0" applyAlignmentFormats="0" applyWidthHeightFormats="1" dataCaption="Values" tag="6e5d371a-8585-44df-a195-825246cf52af" updatedVersion="8" minRefreshableVersion="3" useAutoFormatting="1" subtotalHiddenItems="1" rowGrandTotals="0" itemPrintTitles="1" createdVersion="8" indent="0" outline="1" outlineData="1" multipleFieldFilters="0" chartFormat="19">
  <location ref="A85:G10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303D9E-E9B0-4A63-B034-32DAD6328388}" name="Rep Satisfactions" cacheId="69" applyNumberFormats="0" applyBorderFormats="0" applyFontFormats="0" applyPatternFormats="0" applyAlignmentFormats="0" applyWidthHeightFormats="1" dataCaption="Values" tag="368f1075-382d-4961-83ed-79560d0ca1ce" updatedVersion="8" minRefreshableVersion="3" useAutoFormatting="1" subtotalHiddenItems="1" itemPrintTitles="1" createdVersion="8" indent="0" outline="1" outlineData="1" multipleFieldFilters="0" chartFormat="19">
  <location ref="A76:B8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DB8F11-99CE-4F08-8390-99F695A7A93E}" name="PivotTable29" cacheId="57" applyNumberFormats="0" applyBorderFormats="0" applyFontFormats="0" applyPatternFormats="0" applyAlignmentFormats="0" applyWidthHeightFormats="1" dataCaption="Values" tag="67a7d4d5-df38-45aa-bd21-d44c3b7444db"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numFmtId="3"/>
    <dataField fld="3" subtotal="count" baseField="0" baseItem="0" numFmtId="166"/>
    <dataField fld="4" subtotal="count" baseField="0" baseItem="0"/>
  </dataFields>
  <formats count="5">
    <format dxfId="12">
      <pivotArea outline="0" collapsedLevelsAreSubtotals="1" fieldPosition="0">
        <references count="1">
          <reference field="4294967294" count="1" selected="0">
            <x v="3"/>
          </reference>
        </references>
      </pivotArea>
    </format>
    <format dxfId="11">
      <pivotArea type="all" dataOnly="0" outline="0" fieldPosition="0"/>
    </format>
    <format dxfId="10">
      <pivotArea outline="0" collapsedLevelsAreSubtotals="1" fieldPosition="0"/>
    </format>
    <format dxfId="9">
      <pivotArea dataOnly="0" labelOnly="1" outline="0" fieldPosition="0">
        <references count="1">
          <reference field="4294967294" count="5">
            <x v="0"/>
            <x v="1"/>
            <x v="2"/>
            <x v="3"/>
            <x v="4"/>
          </reference>
        </references>
      </pivotArea>
    </format>
    <format dxfId="8">
      <pivotArea outline="0" collapsedLevelsAreSubtotals="1" fieldPosition="0">
        <references count="1">
          <reference field="4294967294" count="1" selected="0">
            <x v="2"/>
          </reference>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BD6BAF-7643-4C5F-A40A-56529B5E96DB}" name="Selected Rep" cacheId="66" applyNumberFormats="0" applyBorderFormats="0" applyFontFormats="0" applyPatternFormats="0" applyAlignmentFormats="0" applyWidthHeightFormats="1" dataCaption="Values" tag="4853f978-b27f-4af2-bc9a-c71a8061cd0a" updatedVersion="8" minRefreshableVersion="3" useAutoFormatting="1" subtotalHiddenItems="1" rowGrandTotals="0" itemPrintTitles="1" createdVersion="8" indent="0" outline="1" outlineData="1" multipleFieldFilters="0">
  <location ref="A58:A63"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13">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2B00BB-8CCD-434D-ABCA-CAE9F94D7FA8}" name="PivotTable3" cacheId="0" applyNumberFormats="0" applyBorderFormats="0" applyFontFormats="0" applyPatternFormats="0" applyAlignmentFormats="0" applyWidthHeightFormats="1" dataCaption="Values" tag="1324e129-8c0c-4584-a672-fd22406ab1ff" updatedVersion="8" minRefreshableVersion="3" useAutoFormatting="1" subtotalHiddenItems="1" itemPrintTitles="1" createdVersion="8" indent="0" outline="1" outlineData="1" multipleFieldFilters="0">
  <location ref="A45:C5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435C65-1577-4B53-819B-B705945A937C}" name="Monthly Trend" cacheId="60" applyNumberFormats="0" applyBorderFormats="0" applyFontFormats="0" applyPatternFormats="0" applyAlignmentFormats="0" applyWidthHeightFormats="1" dataCaption="Values" tag="d6aac920-a224-4473-82a1-ea1579cddc18" updatedVersion="8" minRefreshableVersion="3" useAutoFormatting="1" subtotalHiddenItems="1" itemPrintTitles="1" createdVersion="8" indent="0" outline="1" outlineData="1" multipleFieldFilters="0" chartFormat="18">
  <location ref="A15:C28"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formats count="3">
    <format dxfId="16">
      <pivotArea type="all" dataOnly="0" outline="0" fieldPosition="0"/>
    </format>
    <format dxfId="15">
      <pivotArea outline="0" collapsedLevelsAreSubtotals="1" fieldPosition="0"/>
    </format>
    <format dxfId="14">
      <pivotArea dataOnly="0" labelOnly="1" outline="0" fieldPosition="0">
        <references count="1">
          <reference field="4294967294" count="1">
            <x v="0"/>
          </reference>
        </references>
      </pivotArea>
    </format>
  </formats>
  <chartFormats count="5">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3" count="1" selected="0">
            <x v="9"/>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EB6CD88-1481-4C16-BD0D-FCED2EF49FF0}" sourceName="[calls].[Representative]">
  <pivotTables>
    <pivotTable tabId="6" name="PivotTable29"/>
    <pivotTable tabId="6" name="Monthly Trend"/>
    <pivotTable tabId="6" name="Weekly Trend"/>
    <pivotTable tabId="6" name="Selected Rep"/>
    <pivotTable tabId="6" name="Rep Satisfactions"/>
  </pivotTables>
  <data>
    <olap pivotCacheId="56324887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F312EF9-FB72-488A-921D-CD2E7F4DE1DA}"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FFC201FB-40C3-4EB9-8CB9-DD2EAEB37BDD}"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0"/>
    <tableColumn id="5" xr3:uid="{5A35565E-8707-4DED-AD15-A0669D67B382}" name="Date of Call" dataDxfId="29"/>
    <tableColumn id="6" xr3:uid="{F2E4F158-B41F-47BC-8DF8-DFCADFEE4E40}" name="Purchase Amount"/>
    <tableColumn id="7" xr3:uid="{04B291B5-47BD-4F78-8FD8-D1551CCA6BD9}" name="Satisfaction Rating"/>
    <tableColumn id="8" xr3:uid="{6E4123C0-0B17-43B8-A142-A1E540CE974C}" name="FY" dataDxfId="28">
      <calculatedColumnFormula>IF(MONTH(calls[[#This Row],[Date of Call]])&lt;=6, YEAR(calls[[#This Row],[Date of Call]]), YEAR(calls[[#This Row],[Date of Call]])+1)</calculatedColumnFormula>
    </tableColumn>
    <tableColumn id="9" xr3:uid="{199FA271-5E9B-46CE-9BC6-2801F92CD17E}" name="Day of week" dataDxfId="27">
      <calculatedColumnFormula>TEXT(calls[[#This Row],[Date of Call]],"DDDD")</calculatedColumnFormula>
    </tableColumn>
    <tableColumn id="10" xr3:uid="{328CDB09-95B8-4D5E-9ED9-EF0D363735A1}" name="Duration Bucket" dataDxfId="2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4" headerRowBorderDxfId="23" tableBorderDxfId="22" totalsRowBorderDxfId="21">
  <autoFilter ref="Q3:T18" xr:uid="{27158F51-A707-4171-8A04-81FB0AABCBA5}"/>
  <tableColumns count="4">
    <tableColumn id="1" xr3:uid="{02688061-6A8C-4E23-B7FF-D00CD8B58CAC}" name="Customer ID" dataDxfId="20"/>
    <tableColumn id="2" xr3:uid="{771678B6-DB44-426B-9874-B4E421A440D5}" name="Gedner" dataDxfId="19"/>
    <tableColumn id="3" xr3:uid="{B0D41C62-587E-494D-B49A-603F2C05F8D3}" name="Age" dataDxfId="18"/>
    <tableColumn id="4" xr3:uid="{663F92D6-FE31-4D81-9E01-8D066DDC8A88}" name="City" dataDxf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1111DD7-7D22-42DA-A67C-C2E003960C77}">
  <we:reference id="wa200005502" version="1.0.0.11" store="en-US" storeType="OMEX"/>
  <we:alternateReferences>
    <we:reference id="wa200005502" version="1.0.0.11" store="wa200005502" storeType="OMEX"/>
  </we:alternateReferences>
  <we:properties>
    <we:property name="docId" value="&quot;LZrE-xSgdHncrtNWl0nQp&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85" zoomScaleNormal="85" workbookViewId="0">
      <selection activeCell="P10" sqref="P10"/>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0" width="15.5" customWidth="1"/>
    <col min="11" max="11" width="17.375" bestFit="1" customWidth="1"/>
    <col min="12"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65BE2-2FCF-4C54-8603-7E3595A818E1}">
  <dimension ref="A3:K104"/>
  <sheetViews>
    <sheetView topLeftCell="A13" zoomScale="115" zoomScaleNormal="115" workbookViewId="0">
      <selection activeCell="B20" sqref="B20"/>
    </sheetView>
  </sheetViews>
  <sheetFormatPr defaultRowHeight="15" x14ac:dyDescent="0.25"/>
  <cols>
    <col min="1" max="1" width="12.625" bestFit="1" customWidth="1"/>
    <col min="2" max="2" width="10" bestFit="1" customWidth="1"/>
    <col min="3" max="3" width="11" bestFit="1" customWidth="1"/>
    <col min="4" max="4" width="10.375" bestFit="1" customWidth="1"/>
    <col min="5" max="5" width="7.25" bestFit="1" customWidth="1"/>
    <col min="6" max="6" width="6.375" bestFit="1" customWidth="1"/>
    <col min="7" max="7" width="10.375" bestFit="1" customWidth="1"/>
    <col min="9" max="9" width="16.375" bestFit="1" customWidth="1"/>
    <col min="10" max="10" width="7.625" customWidth="1"/>
  </cols>
  <sheetData>
    <row r="3" spans="1:5" x14ac:dyDescent="0.25">
      <c r="A3" s="2" t="s">
        <v>1042</v>
      </c>
      <c r="B3" s="2" t="s">
        <v>1043</v>
      </c>
      <c r="C3" s="2" t="s">
        <v>1044</v>
      </c>
      <c r="D3" s="2" t="s">
        <v>1045</v>
      </c>
      <c r="E3" s="2" t="s">
        <v>1046</v>
      </c>
    </row>
    <row r="4" spans="1:5" x14ac:dyDescent="0.25">
      <c r="A4" s="21">
        <v>1000</v>
      </c>
      <c r="B4" s="22">
        <v>96623</v>
      </c>
      <c r="C4" s="21">
        <v>89850</v>
      </c>
      <c r="D4" s="23">
        <v>3.8854000000000033</v>
      </c>
      <c r="E4" s="24">
        <v>307</v>
      </c>
    </row>
    <row r="8" spans="1:5" x14ac:dyDescent="0.25">
      <c r="A8" s="2" t="s">
        <v>1042</v>
      </c>
      <c r="B8" s="2" t="s">
        <v>1043</v>
      </c>
      <c r="C8" s="2" t="s">
        <v>1044</v>
      </c>
      <c r="D8" s="2" t="s">
        <v>1045</v>
      </c>
      <c r="E8" s="2" t="s">
        <v>1046</v>
      </c>
    </row>
    <row r="9" spans="1:5" x14ac:dyDescent="0.25">
      <c r="A9" s="21">
        <v>1000</v>
      </c>
      <c r="B9" s="22">
        <v>96623</v>
      </c>
      <c r="C9" s="21">
        <v>89850</v>
      </c>
      <c r="D9" s="23">
        <v>3.8854000000000033</v>
      </c>
      <c r="E9" s="24">
        <v>307</v>
      </c>
    </row>
    <row r="15" spans="1:5" x14ac:dyDescent="0.25">
      <c r="A15" s="27" t="s">
        <v>1047</v>
      </c>
      <c r="B15" s="2" t="s">
        <v>1042</v>
      </c>
      <c r="C15" s="2" t="s">
        <v>1061</v>
      </c>
    </row>
    <row r="16" spans="1:5" x14ac:dyDescent="0.25">
      <c r="A16" s="30" t="s">
        <v>1049</v>
      </c>
      <c r="B16" s="21">
        <v>79</v>
      </c>
      <c r="C16" s="21">
        <v>79</v>
      </c>
    </row>
    <row r="17" spans="1:3" x14ac:dyDescent="0.25">
      <c r="A17" s="30" t="s">
        <v>1050</v>
      </c>
      <c r="B17" s="21">
        <v>66</v>
      </c>
      <c r="C17" s="21">
        <v>66</v>
      </c>
    </row>
    <row r="18" spans="1:3" x14ac:dyDescent="0.25">
      <c r="A18" s="30" t="s">
        <v>1051</v>
      </c>
      <c r="B18" s="21">
        <v>155</v>
      </c>
      <c r="C18" s="21">
        <v>155</v>
      </c>
    </row>
    <row r="19" spans="1:3" x14ac:dyDescent="0.25">
      <c r="A19" s="30" t="s">
        <v>1052</v>
      </c>
      <c r="B19" s="21">
        <v>136</v>
      </c>
      <c r="C19" s="21">
        <v>136</v>
      </c>
    </row>
    <row r="20" spans="1:3" x14ac:dyDescent="0.25">
      <c r="A20" s="30" t="s">
        <v>1053</v>
      </c>
      <c r="B20" s="21">
        <v>83</v>
      </c>
      <c r="C20" s="21">
        <v>83</v>
      </c>
    </row>
    <row r="21" spans="1:3" x14ac:dyDescent="0.25">
      <c r="A21" s="30" t="s">
        <v>1054</v>
      </c>
      <c r="B21" s="21">
        <v>67</v>
      </c>
      <c r="C21" s="21">
        <v>67</v>
      </c>
    </row>
    <row r="22" spans="1:3" x14ac:dyDescent="0.25">
      <c r="A22" s="30" t="s">
        <v>1055</v>
      </c>
      <c r="B22" s="21">
        <v>64</v>
      </c>
      <c r="C22" s="21">
        <v>64</v>
      </c>
    </row>
    <row r="23" spans="1:3" x14ac:dyDescent="0.25">
      <c r="A23" s="30" t="s">
        <v>1056</v>
      </c>
      <c r="B23" s="21">
        <v>50</v>
      </c>
      <c r="C23" s="21">
        <v>50</v>
      </c>
    </row>
    <row r="24" spans="1:3" x14ac:dyDescent="0.25">
      <c r="A24" s="30" t="s">
        <v>1057</v>
      </c>
      <c r="B24" s="21">
        <v>76</v>
      </c>
      <c r="C24" s="21">
        <v>76</v>
      </c>
    </row>
    <row r="25" spans="1:3" x14ac:dyDescent="0.25">
      <c r="A25" s="30" t="s">
        <v>1058</v>
      </c>
      <c r="B25" s="21">
        <v>114</v>
      </c>
      <c r="C25" s="21">
        <v>114</v>
      </c>
    </row>
    <row r="26" spans="1:3" x14ac:dyDescent="0.25">
      <c r="A26" s="30" t="s">
        <v>1059</v>
      </c>
      <c r="B26" s="21">
        <v>57</v>
      </c>
      <c r="C26" s="21">
        <v>57</v>
      </c>
    </row>
    <row r="27" spans="1:3" x14ac:dyDescent="0.25">
      <c r="A27" s="30" t="s">
        <v>1060</v>
      </c>
      <c r="B27" s="21">
        <v>53</v>
      </c>
      <c r="C27" s="21">
        <v>53</v>
      </c>
    </row>
    <row r="28" spans="1:3" x14ac:dyDescent="0.25">
      <c r="A28" s="30" t="s">
        <v>1048</v>
      </c>
      <c r="B28" s="21">
        <v>1000</v>
      </c>
      <c r="C28" s="21">
        <v>1000</v>
      </c>
    </row>
    <row r="32" spans="1:3" x14ac:dyDescent="0.25">
      <c r="A32" s="27" t="s">
        <v>1047</v>
      </c>
      <c r="B32" s="2" t="s">
        <v>1042</v>
      </c>
    </row>
    <row r="33" spans="1:11" x14ac:dyDescent="0.25">
      <c r="A33" s="30" t="s">
        <v>1065</v>
      </c>
      <c r="B33" s="21">
        <v>146</v>
      </c>
    </row>
    <row r="34" spans="1:11" x14ac:dyDescent="0.25">
      <c r="A34" s="30" t="s">
        <v>1064</v>
      </c>
      <c r="B34" s="21">
        <v>161</v>
      </c>
    </row>
    <row r="35" spans="1:11" x14ac:dyDescent="0.25">
      <c r="A35" s="30" t="s">
        <v>1062</v>
      </c>
      <c r="B35" s="21">
        <v>141</v>
      </c>
    </row>
    <row r="36" spans="1:11" x14ac:dyDescent="0.25">
      <c r="A36" s="30" t="s">
        <v>1066</v>
      </c>
      <c r="B36" s="21">
        <v>128</v>
      </c>
    </row>
    <row r="37" spans="1:11" x14ac:dyDescent="0.25">
      <c r="A37" s="30" t="s">
        <v>1068</v>
      </c>
      <c r="B37" s="21">
        <v>153</v>
      </c>
    </row>
    <row r="38" spans="1:11" x14ac:dyDescent="0.25">
      <c r="A38" s="30" t="s">
        <v>1067</v>
      </c>
      <c r="B38" s="21">
        <v>138</v>
      </c>
    </row>
    <row r="39" spans="1:11" x14ac:dyDescent="0.25">
      <c r="A39" s="30" t="s">
        <v>1063</v>
      </c>
      <c r="B39" s="21">
        <v>133</v>
      </c>
    </row>
    <row r="40" spans="1:11" x14ac:dyDescent="0.25">
      <c r="A40" s="30" t="s">
        <v>1048</v>
      </c>
      <c r="B40" s="21">
        <v>1000</v>
      </c>
    </row>
    <row r="41" spans="1:11" x14ac:dyDescent="0.25">
      <c r="K41">
        <v>40</v>
      </c>
    </row>
    <row r="43" spans="1:11" x14ac:dyDescent="0.25">
      <c r="I43" t="s">
        <v>1075</v>
      </c>
      <c r="J43" t="str">
        <f>A59</f>
        <v>R01</v>
      </c>
    </row>
    <row r="44" spans="1:11" x14ac:dyDescent="0.25">
      <c r="F44" t="s">
        <v>1069</v>
      </c>
    </row>
    <row r="45" spans="1:11" x14ac:dyDescent="0.25">
      <c r="A45" s="28" t="s">
        <v>1047</v>
      </c>
      <c r="B45" t="s">
        <v>1042</v>
      </c>
      <c r="C45" t="s">
        <v>1043</v>
      </c>
      <c r="F45" t="s">
        <v>1070</v>
      </c>
      <c r="G45" t="s">
        <v>1071</v>
      </c>
      <c r="H45" t="s">
        <v>1072</v>
      </c>
      <c r="I45" t="s">
        <v>1076</v>
      </c>
      <c r="J45" t="s">
        <v>1077</v>
      </c>
    </row>
    <row r="46" spans="1:11" x14ac:dyDescent="0.25">
      <c r="A46" s="29" t="s">
        <v>11</v>
      </c>
      <c r="B46" s="25">
        <v>189</v>
      </c>
      <c r="C46" s="26">
        <v>18415</v>
      </c>
      <c r="F46" t="str">
        <f>A46</f>
        <v>R01</v>
      </c>
      <c r="G46" s="25">
        <f>B46</f>
        <v>189</v>
      </c>
      <c r="H46" s="31">
        <f>C46</f>
        <v>18415</v>
      </c>
      <c r="I46">
        <f>IF(F46=$J$43,G46,NA())</f>
        <v>189</v>
      </c>
      <c r="J46">
        <f>IF(F46=$J$43,H46,NA())</f>
        <v>18415</v>
      </c>
    </row>
    <row r="47" spans="1:11" x14ac:dyDescent="0.25">
      <c r="A47" s="29" t="s">
        <v>9</v>
      </c>
      <c r="B47" s="25">
        <v>218</v>
      </c>
      <c r="C47" s="26">
        <v>20581</v>
      </c>
      <c r="F47" t="str">
        <f t="shared" ref="F47:F50" si="0">A47</f>
        <v>R02</v>
      </c>
      <c r="G47" s="25">
        <f t="shared" ref="G47:G50" si="1">B47</f>
        <v>218</v>
      </c>
      <c r="H47" s="31">
        <f t="shared" ref="H47:H50" si="2">C47</f>
        <v>20581</v>
      </c>
      <c r="I47" t="e">
        <f t="shared" ref="I47:I50" si="3">IF(F47=$J$43,G47,NA())</f>
        <v>#N/A</v>
      </c>
      <c r="J47" t="e">
        <f t="shared" ref="J47:J50" si="4">IF(F47=$J$43,H47,NA())</f>
        <v>#N/A</v>
      </c>
    </row>
    <row r="48" spans="1:11" x14ac:dyDescent="0.25">
      <c r="A48" s="29" t="s">
        <v>6</v>
      </c>
      <c r="B48" s="25">
        <v>207</v>
      </c>
      <c r="C48" s="26">
        <v>20872</v>
      </c>
      <c r="F48" t="str">
        <f t="shared" si="0"/>
        <v>R03</v>
      </c>
      <c r="G48" s="25">
        <f t="shared" si="1"/>
        <v>207</v>
      </c>
      <c r="H48" s="31">
        <f t="shared" si="2"/>
        <v>20872</v>
      </c>
      <c r="I48" t="e">
        <f t="shared" si="3"/>
        <v>#N/A</v>
      </c>
      <c r="J48" t="e">
        <f t="shared" si="4"/>
        <v>#N/A</v>
      </c>
    </row>
    <row r="49" spans="1:10" x14ac:dyDescent="0.25">
      <c r="A49" s="29" t="s">
        <v>13</v>
      </c>
      <c r="B49" s="25">
        <v>186</v>
      </c>
      <c r="C49" s="26">
        <v>16651</v>
      </c>
      <c r="F49" t="str">
        <f t="shared" si="0"/>
        <v>R04</v>
      </c>
      <c r="G49" s="25">
        <f t="shared" si="1"/>
        <v>186</v>
      </c>
      <c r="H49" s="31">
        <f t="shared" si="2"/>
        <v>16651</v>
      </c>
      <c r="I49" t="e">
        <f t="shared" si="3"/>
        <v>#N/A</v>
      </c>
      <c r="J49" t="e">
        <f t="shared" si="4"/>
        <v>#N/A</v>
      </c>
    </row>
    <row r="50" spans="1:10" x14ac:dyDescent="0.25">
      <c r="A50" s="29" t="s">
        <v>10</v>
      </c>
      <c r="B50" s="25">
        <v>200</v>
      </c>
      <c r="C50" s="26">
        <v>20104</v>
      </c>
      <c r="F50" t="str">
        <f t="shared" si="0"/>
        <v>R05</v>
      </c>
      <c r="G50" s="25">
        <f t="shared" si="1"/>
        <v>200</v>
      </c>
      <c r="H50" s="31">
        <f t="shared" si="2"/>
        <v>20104</v>
      </c>
      <c r="I50" t="e">
        <f t="shared" si="3"/>
        <v>#N/A</v>
      </c>
      <c r="J50" t="e">
        <f t="shared" si="4"/>
        <v>#N/A</v>
      </c>
    </row>
    <row r="51" spans="1:10" x14ac:dyDescent="0.25">
      <c r="A51" s="29" t="s">
        <v>1048</v>
      </c>
      <c r="B51" s="25">
        <v>1000</v>
      </c>
      <c r="C51" s="26">
        <v>96623</v>
      </c>
    </row>
    <row r="55" spans="1:10" x14ac:dyDescent="0.25">
      <c r="B55" t="s">
        <v>1074</v>
      </c>
    </row>
    <row r="57" spans="1:10" x14ac:dyDescent="0.25">
      <c r="C57" t="s">
        <v>1073</v>
      </c>
      <c r="E57" s="14" t="s">
        <v>1080</v>
      </c>
    </row>
    <row r="58" spans="1:10" x14ac:dyDescent="0.25">
      <c r="A58" s="28" t="s">
        <v>1047</v>
      </c>
    </row>
    <row r="59" spans="1:10" x14ac:dyDescent="0.25">
      <c r="A59" s="32" t="s">
        <v>11</v>
      </c>
      <c r="E59" t="s">
        <v>1081</v>
      </c>
      <c r="F59" s="1">
        <f>A9/A4</f>
        <v>1</v>
      </c>
      <c r="H59" t="s">
        <v>1084</v>
      </c>
    </row>
    <row r="60" spans="1:10" x14ac:dyDescent="0.25">
      <c r="A60" s="32" t="s">
        <v>9</v>
      </c>
      <c r="E60" t="s">
        <v>1071</v>
      </c>
      <c r="F60">
        <f>_xlfn.XLOOKUP(A59,F46:F50,G46:G50)</f>
        <v>189</v>
      </c>
      <c r="I60" s="1" t="str">
        <f>IF(COUNTA(A59:A63)&gt;1, "", " % of Calls: " &amp; TEXT(F59, "0%"))</f>
        <v/>
      </c>
    </row>
    <row r="61" spans="1:10" x14ac:dyDescent="0.25">
      <c r="A61" s="32" t="s">
        <v>6</v>
      </c>
      <c r="E61" t="s">
        <v>1072</v>
      </c>
      <c r="F61">
        <f>_xlfn.XLOOKUP(A59,F46:F50,H46:H50)</f>
        <v>18415</v>
      </c>
      <c r="I61" t="str">
        <f>IF(COUNTA(A59:A63)&gt;1,"", "Call Rank: " &amp; F62)</f>
        <v/>
      </c>
    </row>
    <row r="62" spans="1:10" x14ac:dyDescent="0.25">
      <c r="A62" s="32" t="s">
        <v>13</v>
      </c>
      <c r="E62" t="s">
        <v>1082</v>
      </c>
      <c r="F62">
        <f>_xlfn.RANK.AVG(F60,G46:G50)</f>
        <v>4</v>
      </c>
      <c r="I62" t="str">
        <f>IF(COUNTA(A59:A63)&gt;1, "", "Amount Rank: " &amp; F63)</f>
        <v/>
      </c>
    </row>
    <row r="63" spans="1:10" x14ac:dyDescent="0.25">
      <c r="A63" s="32" t="s">
        <v>10</v>
      </c>
      <c r="E63" t="s">
        <v>1083</v>
      </c>
      <c r="F63">
        <f>_xlfn.RANK.AVG(F61,H46:H50)</f>
        <v>4</v>
      </c>
      <c r="I63" t="str">
        <f>IF(COUNTA(A59:A63)&gt;1,"",_xlfn.XLOOKUP(A59,Assets!E3:E7,Assets!F3:F7))</f>
        <v/>
      </c>
    </row>
    <row r="67" spans="1:4" x14ac:dyDescent="0.25">
      <c r="A67" s="28" t="s">
        <v>1042</v>
      </c>
      <c r="B67" s="28" t="s">
        <v>1078</v>
      </c>
    </row>
    <row r="68" spans="1:4" x14ac:dyDescent="0.25">
      <c r="A68" s="28" t="s">
        <v>1047</v>
      </c>
      <c r="B68" t="s">
        <v>999</v>
      </c>
      <c r="C68" t="s">
        <v>998</v>
      </c>
      <c r="D68" t="s">
        <v>1048</v>
      </c>
    </row>
    <row r="69" spans="1:4" x14ac:dyDescent="0.25">
      <c r="A69" s="29" t="s">
        <v>1002</v>
      </c>
      <c r="B69" s="25">
        <v>144</v>
      </c>
      <c r="C69" s="25">
        <v>132</v>
      </c>
      <c r="D69" s="25">
        <v>276</v>
      </c>
    </row>
    <row r="70" spans="1:4" x14ac:dyDescent="0.25">
      <c r="A70" s="29" t="s">
        <v>1001</v>
      </c>
      <c r="B70" s="25">
        <v>326</v>
      </c>
      <c r="C70" s="25">
        <v>63</v>
      </c>
      <c r="D70" s="25">
        <v>389</v>
      </c>
    </row>
    <row r="71" spans="1:4" x14ac:dyDescent="0.25">
      <c r="A71" s="29" t="s">
        <v>1000</v>
      </c>
      <c r="B71" s="25">
        <v>129</v>
      </c>
      <c r="C71" s="25">
        <v>206</v>
      </c>
      <c r="D71" s="25">
        <v>335</v>
      </c>
    </row>
    <row r="72" spans="1:4" x14ac:dyDescent="0.25">
      <c r="A72" s="29" t="s">
        <v>1048</v>
      </c>
      <c r="B72" s="25">
        <v>599</v>
      </c>
      <c r="C72" s="25">
        <v>401</v>
      </c>
      <c r="D72" s="25">
        <v>1000</v>
      </c>
    </row>
    <row r="76" spans="1:4" x14ac:dyDescent="0.25">
      <c r="A76" s="28" t="s">
        <v>1047</v>
      </c>
      <c r="B76" t="s">
        <v>1042</v>
      </c>
    </row>
    <row r="77" spans="1:4" x14ac:dyDescent="0.25">
      <c r="A77" s="29">
        <v>0</v>
      </c>
      <c r="B77" s="25">
        <v>1</v>
      </c>
    </row>
    <row r="78" spans="1:4" x14ac:dyDescent="0.25">
      <c r="A78" s="29">
        <v>1</v>
      </c>
      <c r="B78" s="25">
        <v>8</v>
      </c>
    </row>
    <row r="79" spans="1:4" x14ac:dyDescent="0.25">
      <c r="A79" s="29">
        <v>2</v>
      </c>
      <c r="B79" s="25">
        <v>59</v>
      </c>
    </row>
    <row r="80" spans="1:4" x14ac:dyDescent="0.25">
      <c r="A80" s="29">
        <v>3</v>
      </c>
      <c r="B80" s="25">
        <v>197</v>
      </c>
    </row>
    <row r="81" spans="1:7" x14ac:dyDescent="0.25">
      <c r="A81" s="29">
        <v>4</v>
      </c>
      <c r="B81" s="25">
        <v>428</v>
      </c>
    </row>
    <row r="82" spans="1:7" x14ac:dyDescent="0.25">
      <c r="A82" s="29">
        <v>5</v>
      </c>
      <c r="B82" s="25">
        <v>307</v>
      </c>
    </row>
    <row r="83" spans="1:7" x14ac:dyDescent="0.25">
      <c r="A83" s="29" t="s">
        <v>1048</v>
      </c>
      <c r="B83" s="25">
        <v>1000</v>
      </c>
    </row>
    <row r="85" spans="1:7" x14ac:dyDescent="0.25">
      <c r="A85" s="28" t="s">
        <v>1043</v>
      </c>
      <c r="B85" s="28" t="s">
        <v>1078</v>
      </c>
    </row>
    <row r="86" spans="1:7" x14ac:dyDescent="0.25">
      <c r="A86" s="28" t="s">
        <v>1047</v>
      </c>
      <c r="B86" t="s">
        <v>11</v>
      </c>
      <c r="C86" t="s">
        <v>9</v>
      </c>
      <c r="D86" t="s">
        <v>6</v>
      </c>
      <c r="E86" t="s">
        <v>13</v>
      </c>
      <c r="F86" t="s">
        <v>10</v>
      </c>
      <c r="G86" t="s">
        <v>1048</v>
      </c>
    </row>
    <row r="87" spans="1:7" x14ac:dyDescent="0.25">
      <c r="A87" s="29" t="s">
        <v>1002</v>
      </c>
    </row>
    <row r="88" spans="1:7" x14ac:dyDescent="0.25">
      <c r="A88" s="33" t="s">
        <v>20</v>
      </c>
      <c r="B88" s="26">
        <v>891</v>
      </c>
      <c r="C88" s="26">
        <v>1332</v>
      </c>
      <c r="D88" s="26">
        <v>1282</v>
      </c>
      <c r="E88" s="26">
        <v>739</v>
      </c>
      <c r="F88" s="26">
        <v>560</v>
      </c>
      <c r="G88" s="26">
        <v>4804</v>
      </c>
    </row>
    <row r="89" spans="1:7" x14ac:dyDescent="0.25">
      <c r="A89" s="33" t="s">
        <v>12</v>
      </c>
      <c r="B89" s="26">
        <v>1991</v>
      </c>
      <c r="C89" s="26">
        <v>1886</v>
      </c>
      <c r="D89" s="26">
        <v>1206</v>
      </c>
      <c r="E89" s="26">
        <v>884</v>
      </c>
      <c r="F89" s="26">
        <v>1722</v>
      </c>
      <c r="G89" s="26">
        <v>7689</v>
      </c>
    </row>
    <row r="90" spans="1:7" x14ac:dyDescent="0.25">
      <c r="A90" s="33" t="s">
        <v>8</v>
      </c>
      <c r="B90" s="26">
        <v>1163</v>
      </c>
      <c r="C90" s="26">
        <v>1180</v>
      </c>
      <c r="D90" s="26">
        <v>1616</v>
      </c>
      <c r="E90" s="26">
        <v>1043</v>
      </c>
      <c r="F90" s="26">
        <v>1747</v>
      </c>
      <c r="G90" s="26">
        <v>6749</v>
      </c>
    </row>
    <row r="91" spans="1:7" x14ac:dyDescent="0.25">
      <c r="A91" s="33" t="s">
        <v>16</v>
      </c>
      <c r="B91" s="26">
        <v>1438</v>
      </c>
      <c r="C91" s="26">
        <v>1616</v>
      </c>
      <c r="D91" s="26">
        <v>866</v>
      </c>
      <c r="E91" s="26">
        <v>829</v>
      </c>
      <c r="F91" s="26">
        <v>2070</v>
      </c>
      <c r="G91" s="26">
        <v>6819</v>
      </c>
    </row>
    <row r="92" spans="1:7" x14ac:dyDescent="0.25">
      <c r="A92" s="29" t="s">
        <v>1001</v>
      </c>
    </row>
    <row r="93" spans="1:7" x14ac:dyDescent="0.25">
      <c r="A93" s="33" t="s">
        <v>24</v>
      </c>
      <c r="B93" s="26">
        <v>1233</v>
      </c>
      <c r="C93" s="26">
        <v>223</v>
      </c>
      <c r="D93" s="26">
        <v>1680</v>
      </c>
      <c r="E93" s="26">
        <v>990</v>
      </c>
      <c r="F93" s="26">
        <v>1508</v>
      </c>
      <c r="G93" s="26">
        <v>5634</v>
      </c>
    </row>
    <row r="94" spans="1:7" x14ac:dyDescent="0.25">
      <c r="A94" s="33" t="s">
        <v>15</v>
      </c>
      <c r="B94" s="26">
        <v>1598</v>
      </c>
      <c r="C94" s="26">
        <v>1907</v>
      </c>
      <c r="D94" s="26">
        <v>869</v>
      </c>
      <c r="E94" s="26">
        <v>1426</v>
      </c>
      <c r="F94" s="26">
        <v>1416</v>
      </c>
      <c r="G94" s="26">
        <v>7216</v>
      </c>
    </row>
    <row r="95" spans="1:7" x14ac:dyDescent="0.25">
      <c r="A95" s="33" t="s">
        <v>5</v>
      </c>
      <c r="B95" s="26">
        <v>900</v>
      </c>
      <c r="C95" s="26">
        <v>1016</v>
      </c>
      <c r="D95" s="26">
        <v>960</v>
      </c>
      <c r="E95" s="26">
        <v>940</v>
      </c>
      <c r="F95" s="26">
        <v>1193</v>
      </c>
      <c r="G95" s="26">
        <v>5009</v>
      </c>
    </row>
    <row r="96" spans="1:7" x14ac:dyDescent="0.25">
      <c r="A96" s="33" t="s">
        <v>18</v>
      </c>
      <c r="B96" s="26">
        <v>900</v>
      </c>
      <c r="C96" s="26">
        <v>1470</v>
      </c>
      <c r="D96" s="26">
        <v>1617</v>
      </c>
      <c r="E96" s="26">
        <v>1314</v>
      </c>
      <c r="F96" s="26">
        <v>941</v>
      </c>
      <c r="G96" s="26">
        <v>6242</v>
      </c>
    </row>
    <row r="97" spans="1:7" x14ac:dyDescent="0.25">
      <c r="A97" s="33" t="s">
        <v>14</v>
      </c>
      <c r="B97" s="26">
        <v>1255</v>
      </c>
      <c r="C97" s="26">
        <v>516</v>
      </c>
      <c r="D97" s="26">
        <v>1874</v>
      </c>
      <c r="E97" s="26">
        <v>1863</v>
      </c>
      <c r="F97" s="26">
        <v>1722</v>
      </c>
      <c r="G97" s="26">
        <v>7230</v>
      </c>
    </row>
    <row r="98" spans="1:7" x14ac:dyDescent="0.25">
      <c r="A98" s="33" t="s">
        <v>19</v>
      </c>
      <c r="B98" s="26">
        <v>1138</v>
      </c>
      <c r="C98" s="26">
        <v>1898</v>
      </c>
      <c r="D98" s="26">
        <v>1482</v>
      </c>
      <c r="E98" s="26">
        <v>846</v>
      </c>
      <c r="F98" s="26">
        <v>1154</v>
      </c>
      <c r="G98" s="26">
        <v>6518</v>
      </c>
    </row>
    <row r="99" spans="1:7" x14ac:dyDescent="0.25">
      <c r="A99" s="29" t="s">
        <v>1000</v>
      </c>
    </row>
    <row r="100" spans="1:7" x14ac:dyDescent="0.25">
      <c r="A100" s="33" t="s">
        <v>17</v>
      </c>
      <c r="B100" s="26">
        <v>1655</v>
      </c>
      <c r="C100" s="26">
        <v>805</v>
      </c>
      <c r="D100" s="26">
        <v>2263</v>
      </c>
      <c r="E100" s="26">
        <v>987</v>
      </c>
      <c r="F100" s="26">
        <v>1075</v>
      </c>
      <c r="G100" s="26">
        <v>6785</v>
      </c>
    </row>
    <row r="101" spans="1:7" x14ac:dyDescent="0.25">
      <c r="A101" s="33" t="s">
        <v>23</v>
      </c>
      <c r="B101" s="26">
        <v>1104</v>
      </c>
      <c r="C101" s="26">
        <v>2280</v>
      </c>
      <c r="D101" s="26">
        <v>1445</v>
      </c>
      <c r="E101" s="26">
        <v>1722</v>
      </c>
      <c r="F101" s="26">
        <v>1196</v>
      </c>
      <c r="G101" s="26">
        <v>7747</v>
      </c>
    </row>
    <row r="102" spans="1:7" x14ac:dyDescent="0.25">
      <c r="A102" s="33" t="s">
        <v>7</v>
      </c>
      <c r="B102" s="26">
        <v>372</v>
      </c>
      <c r="C102" s="26">
        <v>1818</v>
      </c>
      <c r="D102" s="26">
        <v>1346</v>
      </c>
      <c r="E102" s="26">
        <v>1156</v>
      </c>
      <c r="F102" s="26">
        <v>1484</v>
      </c>
      <c r="G102" s="26">
        <v>6176</v>
      </c>
    </row>
    <row r="103" spans="1:7" x14ac:dyDescent="0.25">
      <c r="A103" s="33" t="s">
        <v>22</v>
      </c>
      <c r="B103" s="26">
        <v>1415</v>
      </c>
      <c r="C103" s="26">
        <v>1271</v>
      </c>
      <c r="D103" s="26">
        <v>1214</v>
      </c>
      <c r="E103" s="26">
        <v>1135</v>
      </c>
      <c r="F103" s="26">
        <v>1566</v>
      </c>
      <c r="G103" s="26">
        <v>6601</v>
      </c>
    </row>
    <row r="104" spans="1:7" x14ac:dyDescent="0.25">
      <c r="A104" s="33" t="s">
        <v>21</v>
      </c>
      <c r="B104" s="26">
        <v>1362</v>
      </c>
      <c r="C104" s="26">
        <v>1363</v>
      </c>
      <c r="D104" s="26">
        <v>1152</v>
      </c>
      <c r="E104" s="26">
        <v>777</v>
      </c>
      <c r="F104" s="26">
        <v>750</v>
      </c>
      <c r="G104" s="26">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69226-AAAD-4B57-8D58-658CA6D9BD63}">
  <dimension ref="F15:S35"/>
  <sheetViews>
    <sheetView showGridLines="0" tabSelected="1" zoomScale="90" zoomScaleNormal="90" workbookViewId="0">
      <selection activeCell="T11" sqref="T11"/>
    </sheetView>
  </sheetViews>
  <sheetFormatPr defaultColWidth="8.75" defaultRowHeight="15" x14ac:dyDescent="0.25"/>
  <cols>
    <col min="1" max="16384" width="8.75" style="20"/>
  </cols>
  <sheetData>
    <row r="15" spans="12:18" x14ac:dyDescent="0.25">
      <c r="L15" s="34"/>
      <c r="M15" s="38" t="str" cm="1">
        <f t="array" ref="M15:Q15">'Data Analyst'!B86:F86</f>
        <v>R01</v>
      </c>
      <c r="N15" s="38" t="str">
        <v>R02</v>
      </c>
      <c r="O15" s="38" t="str">
        <v>R03</v>
      </c>
      <c r="P15" s="38" t="str">
        <v>R04</v>
      </c>
      <c r="Q15" s="38" t="str">
        <v>R05</v>
      </c>
      <c r="R15" s="38" t="s">
        <v>1079</v>
      </c>
    </row>
    <row r="16" spans="12:18" x14ac:dyDescent="0.25">
      <c r="L16" s="39" t="str" cm="1">
        <f t="array" ref="L16:R33">IF('Data Analyst'!A87:G104="", "",'Data Analyst'!A87:G104)</f>
        <v>Cincinnati</v>
      </c>
      <c r="M16" s="35" t="str">
        <v/>
      </c>
      <c r="N16" s="35" t="str">
        <v/>
      </c>
      <c r="O16" s="35" t="str">
        <v/>
      </c>
      <c r="P16" s="35" t="str">
        <v/>
      </c>
      <c r="Q16" s="35" t="str">
        <v/>
      </c>
      <c r="R16" s="35" t="str">
        <v/>
      </c>
    </row>
    <row r="17" spans="10:19" x14ac:dyDescent="0.25">
      <c r="L17" s="36" t="str">
        <v>C0003</v>
      </c>
      <c r="M17" s="37">
        <v>891</v>
      </c>
      <c r="N17" s="37">
        <v>1332</v>
      </c>
      <c r="O17" s="37">
        <v>1282</v>
      </c>
      <c r="P17" s="37">
        <v>739</v>
      </c>
      <c r="Q17" s="37">
        <v>560</v>
      </c>
      <c r="R17" s="37">
        <v>4804</v>
      </c>
    </row>
    <row r="18" spans="10:19" x14ac:dyDescent="0.25">
      <c r="L18" s="36" t="str">
        <v>C0004</v>
      </c>
      <c r="M18" s="37">
        <v>1991</v>
      </c>
      <c r="N18" s="37">
        <v>1886</v>
      </c>
      <c r="O18" s="37">
        <v>1206</v>
      </c>
      <c r="P18" s="37">
        <v>884</v>
      </c>
      <c r="Q18" s="37">
        <v>1722</v>
      </c>
      <c r="R18" s="37">
        <v>7689</v>
      </c>
    </row>
    <row r="19" spans="10:19" x14ac:dyDescent="0.25">
      <c r="L19" s="36" t="str">
        <v>C0011</v>
      </c>
      <c r="M19" s="37">
        <v>1163</v>
      </c>
      <c r="N19" s="37">
        <v>1180</v>
      </c>
      <c r="O19" s="37">
        <v>1616</v>
      </c>
      <c r="P19" s="37">
        <v>1043</v>
      </c>
      <c r="Q19" s="37">
        <v>1747</v>
      </c>
      <c r="R19" s="37">
        <v>6749</v>
      </c>
    </row>
    <row r="20" spans="10:19" x14ac:dyDescent="0.25">
      <c r="L20" s="36" t="str">
        <v>C0012</v>
      </c>
      <c r="M20" s="37">
        <v>1438</v>
      </c>
      <c r="N20" s="37">
        <v>1616</v>
      </c>
      <c r="O20" s="37">
        <v>866</v>
      </c>
      <c r="P20" s="37">
        <v>829</v>
      </c>
      <c r="Q20" s="37">
        <v>2070</v>
      </c>
      <c r="R20" s="37">
        <v>6819</v>
      </c>
    </row>
    <row r="21" spans="10:19" x14ac:dyDescent="0.25">
      <c r="L21" s="39" t="str">
        <v>Cleveland</v>
      </c>
      <c r="M21" s="37" t="str">
        <v/>
      </c>
      <c r="N21" s="37" t="str">
        <v/>
      </c>
      <c r="O21" s="37" t="str">
        <v/>
      </c>
      <c r="P21" s="37" t="str">
        <v/>
      </c>
      <c r="Q21" s="37" t="str">
        <v/>
      </c>
      <c r="R21" s="37" t="str">
        <v/>
      </c>
    </row>
    <row r="22" spans="10:19" x14ac:dyDescent="0.25">
      <c r="L22" s="36" t="str">
        <v>C0002</v>
      </c>
      <c r="M22" s="37">
        <v>1233</v>
      </c>
      <c r="N22" s="37">
        <v>223</v>
      </c>
      <c r="O22" s="37">
        <v>1680</v>
      </c>
      <c r="P22" s="37">
        <v>990</v>
      </c>
      <c r="Q22" s="37">
        <v>1508</v>
      </c>
      <c r="R22" s="37">
        <v>5634</v>
      </c>
    </row>
    <row r="23" spans="10:19" x14ac:dyDescent="0.25">
      <c r="L23" s="36" t="str">
        <v>C0007</v>
      </c>
      <c r="M23" s="37">
        <v>1598</v>
      </c>
      <c r="N23" s="37">
        <v>1907</v>
      </c>
      <c r="O23" s="37">
        <v>869</v>
      </c>
      <c r="P23" s="37">
        <v>1426</v>
      </c>
      <c r="Q23" s="37">
        <v>1416</v>
      </c>
      <c r="R23" s="37">
        <v>7216</v>
      </c>
    </row>
    <row r="24" spans="10:19" x14ac:dyDescent="0.25">
      <c r="L24" s="36" t="str">
        <v>C0008</v>
      </c>
      <c r="M24" s="37">
        <v>900</v>
      </c>
      <c r="N24" s="37">
        <v>1016</v>
      </c>
      <c r="O24" s="37">
        <v>960</v>
      </c>
      <c r="P24" s="37">
        <v>940</v>
      </c>
      <c r="Q24" s="37">
        <v>1193</v>
      </c>
      <c r="R24" s="37">
        <v>5009</v>
      </c>
    </row>
    <row r="25" spans="10:19" x14ac:dyDescent="0.25">
      <c r="L25" s="36" t="str">
        <v>C0010</v>
      </c>
      <c r="M25" s="37">
        <v>900</v>
      </c>
      <c r="N25" s="37">
        <v>1470</v>
      </c>
      <c r="O25" s="37">
        <v>1617</v>
      </c>
      <c r="P25" s="37">
        <v>1314</v>
      </c>
      <c r="Q25" s="37">
        <v>941</v>
      </c>
      <c r="R25" s="37">
        <v>6242</v>
      </c>
      <c r="S25" s="20" t="s">
        <v>1073</v>
      </c>
    </row>
    <row r="26" spans="10:19" x14ac:dyDescent="0.25">
      <c r="J26" s="45" t="str">
        <f>'Data Analyst'!I63</f>
        <v/>
      </c>
      <c r="K26" s="45"/>
      <c r="L26" s="36" t="str">
        <v>C0013</v>
      </c>
      <c r="M26" s="37">
        <v>1255</v>
      </c>
      <c r="N26" s="37">
        <v>516</v>
      </c>
      <c r="O26" s="37">
        <v>1874</v>
      </c>
      <c r="P26" s="37">
        <v>1863</v>
      </c>
      <c r="Q26" s="37">
        <v>1722</v>
      </c>
      <c r="R26" s="37">
        <v>7230</v>
      </c>
    </row>
    <row r="27" spans="10:19" x14ac:dyDescent="0.25">
      <c r="J27" s="45"/>
      <c r="K27" s="45"/>
      <c r="L27" s="36" t="str">
        <v>C0015</v>
      </c>
      <c r="M27" s="37">
        <v>1138</v>
      </c>
      <c r="N27" s="37">
        <v>1898</v>
      </c>
      <c r="O27" s="37">
        <v>1482</v>
      </c>
      <c r="P27" s="37">
        <v>846</v>
      </c>
      <c r="Q27" s="37">
        <v>1154</v>
      </c>
      <c r="R27" s="37">
        <v>6518</v>
      </c>
    </row>
    <row r="28" spans="10:19" x14ac:dyDescent="0.25">
      <c r="J28" s="45"/>
      <c r="K28" s="45"/>
      <c r="L28" s="39" t="str">
        <v>Columbus</v>
      </c>
      <c r="M28" s="37" t="str">
        <v/>
      </c>
      <c r="N28" s="37" t="str">
        <v/>
      </c>
      <c r="O28" s="37" t="str">
        <v/>
      </c>
      <c r="P28" s="37" t="str">
        <v/>
      </c>
      <c r="Q28" s="37" t="str">
        <v/>
      </c>
      <c r="R28" s="37" t="str">
        <v/>
      </c>
    </row>
    <row r="29" spans="10:19" x14ac:dyDescent="0.25">
      <c r="J29" s="40" t="str">
        <f>'Data Analyst'!I60</f>
        <v/>
      </c>
      <c r="L29" s="36" t="str">
        <v>C0001</v>
      </c>
      <c r="M29" s="37">
        <v>1655</v>
      </c>
      <c r="N29" s="37">
        <v>805</v>
      </c>
      <c r="O29" s="37">
        <v>2263</v>
      </c>
      <c r="P29" s="37">
        <v>987</v>
      </c>
      <c r="Q29" s="37">
        <v>1075</v>
      </c>
      <c r="R29" s="37">
        <v>6785</v>
      </c>
    </row>
    <row r="30" spans="10:19" x14ac:dyDescent="0.25">
      <c r="J30" s="40" t="str">
        <f>'Data Analyst'!I61</f>
        <v/>
      </c>
      <c r="L30" s="36" t="str">
        <v>C0005</v>
      </c>
      <c r="M30" s="37">
        <v>1104</v>
      </c>
      <c r="N30" s="37">
        <v>2280</v>
      </c>
      <c r="O30" s="37">
        <v>1445</v>
      </c>
      <c r="P30" s="37">
        <v>1722</v>
      </c>
      <c r="Q30" s="37">
        <v>1196</v>
      </c>
      <c r="R30" s="37">
        <v>7747</v>
      </c>
    </row>
    <row r="31" spans="10:19" x14ac:dyDescent="0.25">
      <c r="J31" s="40" t="str">
        <f>'Data Analyst'!I62</f>
        <v/>
      </c>
      <c r="L31" s="36" t="str">
        <v>C0006</v>
      </c>
      <c r="M31" s="37">
        <v>372</v>
      </c>
      <c r="N31" s="37">
        <v>1818</v>
      </c>
      <c r="O31" s="37">
        <v>1346</v>
      </c>
      <c r="P31" s="37">
        <v>1156</v>
      </c>
      <c r="Q31" s="37">
        <v>1484</v>
      </c>
      <c r="R31" s="37">
        <v>6176</v>
      </c>
    </row>
    <row r="32" spans="10:19" x14ac:dyDescent="0.25">
      <c r="L32" s="36" t="str">
        <v>C0009</v>
      </c>
      <c r="M32" s="37">
        <v>1415</v>
      </c>
      <c r="N32" s="37">
        <v>1271</v>
      </c>
      <c r="O32" s="37">
        <v>1214</v>
      </c>
      <c r="P32" s="37">
        <v>1135</v>
      </c>
      <c r="Q32" s="37">
        <v>1566</v>
      </c>
      <c r="R32" s="37">
        <v>6601</v>
      </c>
    </row>
    <row r="33" spans="6:18" x14ac:dyDescent="0.25">
      <c r="L33" s="36" t="str">
        <v>C0014</v>
      </c>
      <c r="M33" s="37">
        <v>1362</v>
      </c>
      <c r="N33" s="37">
        <v>1363</v>
      </c>
      <c r="O33" s="37">
        <v>1152</v>
      </c>
      <c r="P33" s="37">
        <v>777</v>
      </c>
      <c r="Q33" s="37">
        <v>750</v>
      </c>
      <c r="R33" s="37">
        <v>5404</v>
      </c>
    </row>
    <row r="35" spans="6:18" x14ac:dyDescent="0.25">
      <c r="F35" s="20" t="s">
        <v>1073</v>
      </c>
    </row>
  </sheetData>
  <mergeCells count="1">
    <mergeCell ref="J26:K28"/>
  </mergeCells>
  <conditionalFormatting sqref="M16:Q33">
    <cfRule type="dataBar" priority="3">
      <dataBar>
        <cfvo type="num" val="0"/>
        <cfvo type="formula" val="MAX($M$17:$Q$33)*2"/>
        <color theme="1" tint="0.34998626667073579"/>
      </dataBar>
      <extLst>
        <ext xmlns:x14="http://schemas.microsoft.com/office/spreadsheetml/2009/9/main" uri="{B025F937-C7B1-47D3-B67F-A62EFF666E3E}">
          <x14:id>{66E5511F-A1FB-4EA7-9640-E3B9C4C2061C}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8BBAB18D-C00B-4A4F-BCF9-DA0AAEF3615B}">
            <xm:f>M$15='Data Analyst'!$A$59</xm:f>
            <x14:dxf>
              <fill>
                <patternFill>
                  <bgColor theme="8" tint="0.59996337778862885"/>
                </patternFill>
              </fill>
              <border>
                <left style="thin">
                  <color auto="1"/>
                </left>
                <right style="thin">
                  <color auto="1"/>
                </right>
                <top style="thin">
                  <color auto="1"/>
                </top>
                <bottom style="thin">
                  <color auto="1"/>
                </bottom>
                <vertical/>
                <horizontal/>
              </border>
            </x14:dxf>
          </x14:cfRule>
          <xm:sqref>M15:Q33</xm:sqref>
        </x14:conditionalFormatting>
        <x14:conditionalFormatting xmlns:xm="http://schemas.microsoft.com/office/excel/2006/main">
          <x14:cfRule type="dataBar" id="{66E5511F-A1FB-4EA7-9640-E3B9C4C2061C}">
            <x14:dataBar minLength="0" maxLength="100" gradient="0">
              <x14:cfvo type="num">
                <xm:f>0</xm:f>
              </x14:cfvo>
              <x14:cfvo type="formula">
                <xm:f>MAX($M$17:$Q$33)*2</xm:f>
              </x14:cfvo>
              <x14:negativeFillColor rgb="FFFF0000"/>
              <x14:axisColor rgb="FF000000"/>
            </x14:dataBar>
          </x14:cfRule>
          <xm:sqref>M16:Q33</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G16" sqref="G16"/>
    </sheetView>
  </sheetViews>
  <sheetFormatPr defaultRowHeight="15" x14ac:dyDescent="0.25"/>
  <cols>
    <col min="5" max="5" width="10.875" customWidth="1"/>
    <col min="6" max="6" width="9.875" customWidth="1"/>
  </cols>
  <sheetData>
    <row r="2" spans="5:6" x14ac:dyDescent="0.25">
      <c r="E2" t="s">
        <v>1040</v>
      </c>
      <c r="F2" t="s">
        <v>1041</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1870D-4A6F-4FE6-B96B-004A2C1F6CB6}">
  <dimension ref="A1:A27"/>
  <sheetViews>
    <sheetView showGridLines="0" topLeftCell="A4" workbookViewId="0">
      <selection activeCell="F11" sqref="F11"/>
    </sheetView>
  </sheetViews>
  <sheetFormatPr defaultRowHeight="15" x14ac:dyDescent="0.25"/>
  <sheetData>
    <row r="1" spans="1:1" x14ac:dyDescent="0.25">
      <c r="A1" s="14" t="s">
        <v>1085</v>
      </c>
    </row>
    <row r="2" spans="1:1" x14ac:dyDescent="0.25">
      <c r="A2" s="41"/>
    </row>
    <row r="3" spans="1:1" x14ac:dyDescent="0.25">
      <c r="A3" s="41" t="s">
        <v>1086</v>
      </c>
    </row>
    <row r="5" spans="1:1" x14ac:dyDescent="0.25">
      <c r="A5" s="14" t="s">
        <v>1087</v>
      </c>
    </row>
    <row r="6" spans="1:1" x14ac:dyDescent="0.25">
      <c r="A6" s="41"/>
    </row>
    <row r="7" spans="1:1" x14ac:dyDescent="0.25">
      <c r="A7" s="41" t="s">
        <v>1088</v>
      </c>
    </row>
    <row r="9" spans="1:1" x14ac:dyDescent="0.25">
      <c r="A9" s="14" t="s">
        <v>1089</v>
      </c>
    </row>
    <row r="10" spans="1:1" x14ac:dyDescent="0.25">
      <c r="A10" s="41"/>
    </row>
    <row r="11" spans="1:1" x14ac:dyDescent="0.25">
      <c r="A11" s="41" t="s">
        <v>1090</v>
      </c>
    </row>
    <row r="13" spans="1:1" x14ac:dyDescent="0.25">
      <c r="A13" s="14" t="s">
        <v>1091</v>
      </c>
    </row>
    <row r="14" spans="1:1" x14ac:dyDescent="0.25">
      <c r="A14" s="41"/>
    </row>
    <row r="15" spans="1:1" x14ac:dyDescent="0.25">
      <c r="A15" s="41" t="s">
        <v>1092</v>
      </c>
    </row>
    <row r="17" spans="1:1" x14ac:dyDescent="0.25">
      <c r="A17" s="14" t="s">
        <v>1093</v>
      </c>
    </row>
    <row r="18" spans="1:1" x14ac:dyDescent="0.25">
      <c r="A18" s="41"/>
    </row>
    <row r="19" spans="1:1" x14ac:dyDescent="0.25">
      <c r="A19" s="41" t="s">
        <v>1094</v>
      </c>
    </row>
    <row r="21" spans="1:1" x14ac:dyDescent="0.25">
      <c r="A21" s="14" t="s">
        <v>1095</v>
      </c>
    </row>
    <row r="22" spans="1:1" x14ac:dyDescent="0.25">
      <c r="A22" s="41"/>
    </row>
    <row r="23" spans="1:1" x14ac:dyDescent="0.25">
      <c r="A23" s="41" t="s">
        <v>1096</v>
      </c>
    </row>
    <row r="25" spans="1:1" x14ac:dyDescent="0.25">
      <c r="A25" s="14" t="s">
        <v>1097</v>
      </c>
    </row>
    <row r="26" spans="1:1" x14ac:dyDescent="0.25">
      <c r="A26" s="41"/>
    </row>
    <row r="27" spans="1:1" x14ac:dyDescent="0.25">
      <c r="A27" s="41" t="s">
        <v>1098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524D-45EF-4356-826F-15ABA18E118F}">
  <dimension ref="A1:A37"/>
  <sheetViews>
    <sheetView showGridLines="0" topLeftCell="A14" workbookViewId="0">
      <selection activeCell="A37" sqref="A37"/>
    </sheetView>
  </sheetViews>
  <sheetFormatPr defaultRowHeight="15" x14ac:dyDescent="0.25"/>
  <sheetData>
    <row r="1" spans="1:1" ht="24" x14ac:dyDescent="0.25">
      <c r="A1" s="42" t="s">
        <v>1099</v>
      </c>
    </row>
    <row r="2" spans="1:1" ht="24" x14ac:dyDescent="0.25">
      <c r="A2" s="42"/>
    </row>
    <row r="3" spans="1:1" ht="18" x14ac:dyDescent="0.25">
      <c r="A3" s="43" t="s">
        <v>1100</v>
      </c>
    </row>
    <row r="5" spans="1:1" x14ac:dyDescent="0.25">
      <c r="A5" s="14" t="s">
        <v>1101</v>
      </c>
    </row>
    <row r="6" spans="1:1" x14ac:dyDescent="0.25">
      <c r="A6" s="41"/>
    </row>
    <row r="7" spans="1:1" x14ac:dyDescent="0.25">
      <c r="A7" s="41" t="s">
        <v>1102</v>
      </c>
    </row>
    <row r="8" spans="1:1" x14ac:dyDescent="0.25">
      <c r="A8" s="41"/>
    </row>
    <row r="9" spans="1:1" x14ac:dyDescent="0.25">
      <c r="A9" s="41" t="s">
        <v>1103</v>
      </c>
    </row>
    <row r="11" spans="1:1" x14ac:dyDescent="0.25">
      <c r="A11" s="14" t="s">
        <v>1104</v>
      </c>
    </row>
    <row r="12" spans="1:1" x14ac:dyDescent="0.25">
      <c r="A12" s="41"/>
    </row>
    <row r="13" spans="1:1" x14ac:dyDescent="0.25">
      <c r="A13" s="41" t="s">
        <v>1105</v>
      </c>
    </row>
    <row r="14" spans="1:1" x14ac:dyDescent="0.25">
      <c r="A14" s="41"/>
    </row>
    <row r="15" spans="1:1" x14ac:dyDescent="0.25">
      <c r="A15" s="41" t="s">
        <v>1106</v>
      </c>
    </row>
    <row r="16" spans="1:1" x14ac:dyDescent="0.25">
      <c r="A16" s="41"/>
    </row>
    <row r="17" spans="1:1" x14ac:dyDescent="0.25">
      <c r="A17" s="41" t="s">
        <v>1107</v>
      </c>
    </row>
    <row r="18" spans="1:1" x14ac:dyDescent="0.25">
      <c r="A18" s="41"/>
    </row>
    <row r="19" spans="1:1" x14ac:dyDescent="0.25">
      <c r="A19" s="41"/>
    </row>
    <row r="20" spans="1:1" x14ac:dyDescent="0.25">
      <c r="A20" s="44"/>
    </row>
    <row r="21" spans="1:1" x14ac:dyDescent="0.25">
      <c r="A21" s="44" t="s">
        <v>1108</v>
      </c>
    </row>
    <row r="22" spans="1:1" x14ac:dyDescent="0.25">
      <c r="A22" s="44"/>
    </row>
    <row r="23" spans="1:1" x14ac:dyDescent="0.25">
      <c r="A23" s="44" t="s">
        <v>1109</v>
      </c>
    </row>
    <row r="24" spans="1:1" x14ac:dyDescent="0.25">
      <c r="A24" s="44"/>
    </row>
    <row r="25" spans="1:1" x14ac:dyDescent="0.25">
      <c r="A25" s="44" t="s">
        <v>1110</v>
      </c>
    </row>
    <row r="26" spans="1:1" x14ac:dyDescent="0.25">
      <c r="A26" s="44"/>
    </row>
    <row r="27" spans="1:1" x14ac:dyDescent="0.25">
      <c r="A27" s="44" t="s">
        <v>1111</v>
      </c>
    </row>
    <row r="28" spans="1:1" x14ac:dyDescent="0.25">
      <c r="A28" s="44"/>
    </row>
    <row r="29" spans="1:1" x14ac:dyDescent="0.25">
      <c r="A29" s="44" t="s">
        <v>1112</v>
      </c>
    </row>
    <row r="30" spans="1:1" x14ac:dyDescent="0.25">
      <c r="A30" s="44"/>
    </row>
    <row r="31" spans="1:1" x14ac:dyDescent="0.25">
      <c r="A31" s="44" t="s">
        <v>1113</v>
      </c>
    </row>
    <row r="33" spans="1:1" x14ac:dyDescent="0.25">
      <c r="A33" s="14" t="s">
        <v>1114</v>
      </c>
    </row>
    <row r="34" spans="1:1" x14ac:dyDescent="0.25">
      <c r="A34" s="41"/>
    </row>
    <row r="35" spans="1:1" x14ac:dyDescent="0.25">
      <c r="A35" s="41" t="s">
        <v>1115</v>
      </c>
    </row>
    <row r="36" spans="1:1" x14ac:dyDescent="0.25">
      <c r="A36" s="41"/>
    </row>
    <row r="37" spans="1:1" x14ac:dyDescent="0.25">
      <c r="A37" s="41" t="s">
        <v>1116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5318B990-32A8-4402-9131-675ABF05BCDC}">
  <ds:schemaRefs/>
</ds:datastoreItem>
</file>

<file path=customXml/itemProps2.xml><?xml version="1.0" encoding="utf-8"?>
<ds:datastoreItem xmlns:ds="http://schemas.openxmlformats.org/officeDocument/2006/customXml" ds:itemID="{130D7879-3779-4C90-B802-217C70B86684}">
  <ds:schemaRefs/>
</ds:datastoreItem>
</file>

<file path=customXml/itemProps3.xml><?xml version="1.0" encoding="utf-8"?>
<ds:datastoreItem xmlns:ds="http://schemas.openxmlformats.org/officeDocument/2006/customXml" ds:itemID="{719E57E0-B25A-44AF-AAE9-DC5FB2499866}">
  <ds:schemaRefs/>
</ds:datastoreItem>
</file>

<file path=customXml/itemProps4.xml><?xml version="1.0" encoding="utf-8"?>
<ds:datastoreItem xmlns:ds="http://schemas.openxmlformats.org/officeDocument/2006/customXml" ds:itemID="{2DE89AB3-B5D6-471F-9AC3-9C67977F7553}">
  <ds:schemaRefs/>
</ds:datastoreItem>
</file>

<file path=customXml/itemProps5.xml><?xml version="1.0" encoding="utf-8"?>
<ds:datastoreItem xmlns:ds="http://schemas.openxmlformats.org/officeDocument/2006/customXml" ds:itemID="{794D68E1-7727-4359-AA9B-6685C00B94AB}">
  <ds:schemaRefs/>
</ds:datastoreItem>
</file>

<file path=customXml/itemProps6.xml><?xml version="1.0" encoding="utf-8"?>
<ds:datastoreItem xmlns:ds="http://schemas.openxmlformats.org/officeDocument/2006/customXml" ds:itemID="{EA1C0C0A-923F-4E1D-9957-6C83C704B6B6}">
  <ds:schemaRefs/>
</ds:datastoreItem>
</file>

<file path=customXml/itemProps7.xml><?xml version="1.0" encoding="utf-8"?>
<ds:datastoreItem xmlns:ds="http://schemas.openxmlformats.org/officeDocument/2006/customXml" ds:itemID="{077C3EA3-A3D1-45A7-9F54-079CDF7F095D}">
  <ds:schemaRefs/>
</ds:datastoreItem>
</file>

<file path=customXml/itemProps8.xml><?xml version="1.0" encoding="utf-8"?>
<ds:datastoreItem xmlns:ds="http://schemas.openxmlformats.org/officeDocument/2006/customXml" ds:itemID="{9AAA7E93-DFBA-486F-B006-1174A68A16FB}">
  <ds:schemaRefs/>
</ds:datastoreItem>
</file>

<file path=customXml/itemProps9.xml><?xml version="1.0" encoding="utf-8"?>
<ds:datastoreItem xmlns:ds="http://schemas.openxmlformats.org/officeDocument/2006/customXml" ds:itemID="{305508AF-1E5F-490F-BC85-C9A9F6A107AA}">
  <ds:schemaRefs/>
</ds:datastoreItem>
</file>

<file path=customXml/itemProps10.xml><?xml version="1.0" encoding="utf-8"?>
<ds:datastoreItem xmlns:ds="http://schemas.openxmlformats.org/officeDocument/2006/customXml" ds:itemID="{A1A0738D-1AE4-4E79-9779-3F2CA8F084FE}">
  <ds:schemaRefs/>
</ds:datastoreItem>
</file>

<file path=customXml/itemProps11.xml><?xml version="1.0" encoding="utf-8"?>
<ds:datastoreItem xmlns:ds="http://schemas.openxmlformats.org/officeDocument/2006/customXml" ds:itemID="{5F5B8F38-1A03-4383-825C-17EE38E6574A}">
  <ds:schemaRefs/>
</ds:datastoreItem>
</file>

<file path=customXml/itemProps12.xml><?xml version="1.0" encoding="utf-8"?>
<ds:datastoreItem xmlns:ds="http://schemas.openxmlformats.org/officeDocument/2006/customXml" ds:itemID="{5DADC4C4-B929-43E5-AB28-C39DAF8DC06C}">
  <ds:schemaRefs/>
</ds:datastoreItem>
</file>

<file path=customXml/itemProps13.xml><?xml version="1.0" encoding="utf-8"?>
<ds:datastoreItem xmlns:ds="http://schemas.openxmlformats.org/officeDocument/2006/customXml" ds:itemID="{7EA8D1DA-C48F-4D77-9590-1455D36BAEED}">
  <ds:schemaRefs/>
</ds:datastoreItem>
</file>

<file path=customXml/itemProps14.xml><?xml version="1.0" encoding="utf-8"?>
<ds:datastoreItem xmlns:ds="http://schemas.openxmlformats.org/officeDocument/2006/customXml" ds:itemID="{E0DFD670-0B72-46C0-903C-312E9484048C}">
  <ds:schemaRefs/>
</ds:datastoreItem>
</file>

<file path=customXml/itemProps15.xml><?xml version="1.0" encoding="utf-8"?>
<ds:datastoreItem xmlns:ds="http://schemas.openxmlformats.org/officeDocument/2006/customXml" ds:itemID="{7B2F2B7B-7CFA-4F3E-B895-7E63D5BCDB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Data Analyst</vt:lpstr>
      <vt:lpstr>Dashboard</vt:lpstr>
      <vt:lpstr>Assets</vt:lpstr>
      <vt:lpstr>My insight</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Dharmesh Parmar</cp:lastModifiedBy>
  <dcterms:created xsi:type="dcterms:W3CDTF">2021-03-14T20:21:32Z</dcterms:created>
  <dcterms:modified xsi:type="dcterms:W3CDTF">2025-12-11T14:50:50Z</dcterms:modified>
</cp:coreProperties>
</file>